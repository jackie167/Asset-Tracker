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fo - danh-muc-2026-03-17 5-1" sheetId="1" r:id="rId5"/>
    <sheet name="Total Asset - Bảng 1" sheetId="2" r:id="rId6"/>
    <sheet name="Investment - INDIVIDUAL STOCK" sheetId="3" r:id="rId7"/>
    <sheet name="Investment - BẢNG ĐẦU TƯ" sheetId="4" r:id="rId8"/>
    <sheet name="Cash flow - CASH FLOW" sheetId="5" r:id="rId9"/>
    <sheet name="Income - Expense - INCOME" sheetId="6" r:id="rId10"/>
    <sheet name="Bank - INTEREST &amp; LOAN" sheetId="7" r:id="rId11"/>
    <sheet name="Financial fund - CASH" sheetId="8" r:id="rId12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<sst xmlns="http://schemas.openxmlformats.org/spreadsheetml/2006/main" uniqueCount="179">
  <si>
    <t>danh-muc-2026-03-17 5-1</t>
  </si>
  <si>
    <t>symbol</t>
  </si>
  <si>
    <t>type</t>
  </si>
  <si>
    <t>quantity</t>
  </si>
  <si>
    <t>current_price</t>
  </si>
  <si>
    <t>total_value</t>
  </si>
  <si>
    <t>giá trị</t>
  </si>
  <si>
    <t>tỷ trọng</t>
  </si>
  <si>
    <t>REE</t>
  </si>
  <si>
    <t>stock</t>
  </si>
  <si>
    <t>SJC_1L</t>
  </si>
  <si>
    <t>gold</t>
  </si>
  <si>
    <t>MWG</t>
  </si>
  <si>
    <t>PNJ</t>
  </si>
  <si>
    <t>MBB</t>
  </si>
  <si>
    <t>FPT</t>
  </si>
  <si>
    <t>ACB</t>
  </si>
  <si>
    <t>VCB</t>
  </si>
  <si>
    <t>CTG</t>
  </si>
  <si>
    <t>HPG</t>
  </si>
  <si>
    <t>DGC</t>
  </si>
  <si>
    <t>CTR</t>
  </si>
  <si>
    <t>TCB</t>
  </si>
  <si>
    <t>BMP</t>
  </si>
  <si>
    <t>SSI</t>
  </si>
  <si>
    <t>BTC</t>
  </si>
  <si>
    <t>crypto</t>
  </si>
  <si>
    <t>ETH</t>
  </si>
  <si>
    <t>PAXG</t>
  </si>
  <si>
    <t>BNB</t>
  </si>
  <si>
    <t>SOL</t>
  </si>
  <si>
    <t>XRP</t>
  </si>
  <si>
    <t>AVAX</t>
  </si>
  <si>
    <t>ADA</t>
  </si>
  <si>
    <t>DOT</t>
  </si>
  <si>
    <t>LINK</t>
  </si>
  <si>
    <t>CASH</t>
  </si>
  <si>
    <t>tiền mặt</t>
  </si>
  <si>
    <t>CCQ</t>
  </si>
  <si>
    <t>chứng chỉ quỹ</t>
  </si>
  <si>
    <t>DAT_NEN</t>
  </si>
  <si>
    <t>bất động sản</t>
  </si>
  <si>
    <t>TIEU_DUNG</t>
  </si>
  <si>
    <t>quỹ tiêu dùng</t>
  </si>
  <si>
    <t>Lãi suất tiết kiệm</t>
  </si>
  <si>
    <t>Trượt giá</t>
  </si>
  <si>
    <t>Vàng</t>
  </si>
  <si>
    <t>BDS</t>
  </si>
  <si>
    <t>Ls vay ngắn hạn</t>
  </si>
  <si>
    <t>Ls vay dài hạn</t>
  </si>
  <si>
    <t>Mạo hiểm</t>
  </si>
  <si>
    <t>Trung bình lợi nhuận</t>
  </si>
  <si>
    <t>Chứng khoán</t>
  </si>
  <si>
    <t>Cổ phiếu</t>
  </si>
  <si>
    <t>Quỹ ETF</t>
  </si>
  <si>
    <t>Gold price</t>
  </si>
  <si>
    <t>Usd price</t>
  </si>
  <si>
    <t>Tỷ trọng vàng</t>
  </si>
  <si>
    <t>Tỷ trọng crypto</t>
  </si>
  <si>
    <t>Tỷ trọng ccq</t>
  </si>
  <si>
    <t>Tổng Tài sản</t>
  </si>
  <si>
    <t>Tài sản ròng</t>
  </si>
  <si>
    <t>Nợ</t>
  </si>
  <si>
    <t>Tiền mặt</t>
  </si>
  <si>
    <t>Quỹ đầu tư</t>
  </si>
  <si>
    <t>Crypto</t>
  </si>
  <si>
    <t>Vốn lưu động chưa phân bổ</t>
  </si>
  <si>
    <t>KK</t>
  </si>
  <si>
    <t>Mặt đường 664</t>
  </si>
  <si>
    <t>Đất NN Mặt đường</t>
  </si>
  <si>
    <t>Đất NN 9 ha</t>
  </si>
  <si>
    <t>NN Iakha</t>
  </si>
  <si>
    <t>Tiêu sản</t>
  </si>
  <si>
    <t>Kho xưởng</t>
  </si>
  <si>
    <t>Năng lượng MT</t>
  </si>
  <si>
    <t>Ng Tất Thành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</si>
  <si>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</si>
  <si>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</si>
  <si>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</si>
  <si>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</si>
  <si>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</si>
  <si>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</si>
  <si>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</si>
  <si>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</si>
  <si>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</si>
  <si>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</si>
  <si>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</si>
  <si>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</si>
  <si>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</si>
  <si>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</si>
  <si>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</si>
  <si>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</si>
  <si>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</si>
  <si>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</si>
  <si>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</si>
  <si>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</si>
  <si>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INDIVIDUAL STOCK</t>
  </si>
  <si>
    <t>tài sản</t>
  </si>
  <si>
    <t>loại</t>
  </si>
  <si>
    <t xml:space="preserve">Current </t>
  </si>
  <si>
    <t>Interest</t>
  </si>
  <si>
    <t>Cost of Capital</t>
  </si>
  <si>
    <t>Nhập</t>
  </si>
  <si>
    <t>Ql</t>
  </si>
  <si>
    <t>Current price</t>
  </si>
  <si>
    <t>TCBS</t>
  </si>
  <si>
    <t>Fmarket</t>
  </si>
  <si>
    <t>vinaMIO</t>
  </si>
  <si>
    <t>Ledger</t>
  </si>
  <si>
    <t>Binance</t>
  </si>
  <si>
    <t>VCBFIF</t>
  </si>
  <si>
    <t>Bond</t>
  </si>
  <si>
    <t>VESAF</t>
  </si>
  <si>
    <t>Stock</t>
  </si>
  <si>
    <t>SSISCA</t>
  </si>
  <si>
    <t>VCBMGF</t>
  </si>
  <si>
    <t>VMEEF</t>
  </si>
  <si>
    <t>TCBF</t>
  </si>
  <si>
    <t>DCDS</t>
  </si>
  <si>
    <t>VEOF</t>
  </si>
  <si>
    <t>USDC</t>
  </si>
  <si>
    <t>BẢNG ĐẦU TƯ</t>
  </si>
  <si>
    <t>Cuối 2023</t>
  </si>
  <si>
    <t>Chưa thực hiện</t>
  </si>
  <si>
    <t>Trái phiếu</t>
  </si>
  <si>
    <t>DCBF</t>
  </si>
  <si>
    <t>CCQ Vesaf</t>
  </si>
  <si>
    <t>ETF</t>
  </si>
  <si>
    <t>CP đơn lẻ</t>
  </si>
  <si>
    <t>CASH FLOW</t>
  </si>
  <si>
    <t>Năm</t>
  </si>
  <si>
    <t>Chưa phân bổ</t>
  </si>
  <si>
    <t>Vốn lưu động</t>
  </si>
  <si>
    <t>INCOME</t>
  </si>
  <si>
    <t>OTHER INCOME</t>
  </si>
  <si>
    <t>TIÊU DÙNG</t>
  </si>
  <si>
    <t>INTEREST</t>
  </si>
  <si>
    <t>OTHER EXPENSE</t>
  </si>
  <si>
    <t>Tổng đầu tư</t>
  </si>
  <si>
    <t>Gold</t>
  </si>
  <si>
    <t>Income</t>
  </si>
  <si>
    <t>Tổng Thu khác</t>
  </si>
  <si>
    <t>Lương KK</t>
  </si>
  <si>
    <t>Lương SC</t>
  </si>
  <si>
    <t>Warehouse for rent</t>
  </si>
  <si>
    <t>Tiền thuê KK</t>
  </si>
  <si>
    <t>Cty</t>
  </si>
  <si>
    <t xml:space="preserve">Bán đất ở </t>
  </si>
  <si>
    <t>Thu khác</t>
  </si>
  <si>
    <t>Other expense</t>
  </si>
  <si>
    <t>Mua BDS</t>
  </si>
  <si>
    <t xml:space="preserve">Vay </t>
  </si>
  <si>
    <t xml:space="preserve">Investment </t>
  </si>
  <si>
    <t>Du hoc</t>
  </si>
  <si>
    <t>INTEREST &amp; LOAN</t>
  </si>
  <si>
    <t xml:space="preserve">Total interest </t>
  </si>
  <si>
    <t>Total loan</t>
  </si>
  <si>
    <t>Dài hạn</t>
  </si>
  <si>
    <t>Cá nhân</t>
  </si>
  <si>
    <t>Lãi dài hạn</t>
  </si>
  <si>
    <t>Lãi cá nhân</t>
  </si>
  <si>
    <t>Gốc vay dài hạn</t>
  </si>
  <si>
    <t>Vay dài hạn BDS</t>
  </si>
  <si>
    <t>Luỹ kế vay dài hạn</t>
  </si>
  <si>
    <t>Cash đầu năm</t>
  </si>
  <si>
    <t>cash lợi nhuận</t>
  </si>
  <si>
    <t>cash cuối năm</t>
  </si>
  <si>
    <t>Vàng đầu năm</t>
  </si>
  <si>
    <t>vàng lợi nhuận</t>
  </si>
  <si>
    <t>vàng cuối năm</t>
  </si>
  <si>
    <t>Stock đầu năm</t>
  </si>
  <si>
    <t>stock lợi nhuận</t>
  </si>
  <si>
    <t>stock cuối năm</t>
  </si>
  <si>
    <t>CCQ đầu năm</t>
  </si>
  <si>
    <t>ccq lợi nhuận</t>
  </si>
  <si>
    <t>ccq cuối năm</t>
  </si>
  <si>
    <t>Crypto đầu năm</t>
  </si>
  <si>
    <t>crypto lợi nhuận</t>
  </si>
  <si>
    <t>crypto cuối năm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</si>
</sst>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%"/>
    <numFmt numFmtId="60" formatCode="#,##0.0%"/>
    <numFmt numFmtId="61" formatCode="#,##0.00000"/>
    <numFmt numFmtId="62" formatCode="#,##0.0"/>
  </numFmts>
  <fonts count="22">
    <font>
      <sz val="10"/>
      <color indexed="8"/>
      <name val="Helvetica"/>
    </font>
    <font>
      <sz val="12"/>
      <color indexed="8"/>
      <name val="Helvetica"/>
    </font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i val="1"/>
      <sz val="10"/>
      <color indexed="8"/>
      <name val="Avenir Next Regular"/>
    </font>
    <font>
      <b val="1"/>
      <sz val="10"/>
      <color indexed="8"/>
      <name val="Avenir Next Regular"/>
    </font>
    <font>
      <b val="1"/>
      <sz val="10"/>
      <color indexed="8"/>
      <name val="Helvetica"/>
    </font>
    <font>
      <sz val="10"/>
      <color indexed="8"/>
      <name val="Avenir Next Regular"/>
    </font>
    <font>
      <b val="1"/>
      <sz val="12"/>
      <color indexed="8"/>
      <name val="Helvetica"/>
    </font>
    <font>
      <b val="1"/>
      <sz val="12"/>
      <color indexed="8"/>
      <name val="Avenir Next Regular"/>
    </font>
    <font>
      <u val="single"/>
      <sz val="10"/>
      <color indexed="21"/>
      <name val="Avenir Next Regular"/>
    </font>
    <font>
      <b val="1"/>
      <u val="single"/>
      <sz val="10"/>
      <color indexed="8"/>
      <name val="Avenir Next Regular"/>
    </font>
    <font>
      <i val="1"/>
      <sz val="10"/>
      <color indexed="21"/>
      <name val="Avenir Next Regular"/>
    </font>
    <font>
      <i val="1"/>
      <sz val="10"/>
      <color indexed="8"/>
      <name val="Avenir Next Regular"/>
    </font>
    <font>
      <b val="1"/>
      <sz val="10"/>
      <color indexed="23"/>
      <name val="Avenir Next Regular"/>
    </font>
    <font>
      <b val="1"/>
      <sz val="14"/>
      <color indexed="8"/>
      <name val="Avenir Next Regular"/>
    </font>
    <font>
      <b val="1"/>
      <sz val="11"/>
      <color indexed="8"/>
      <name val="Avenir Next Regular"/>
    </font>
    <font>
      <b val="1"/>
      <i val="1"/>
      <sz val="11"/>
      <color indexed="8"/>
      <name val="Avenir Next Regular"/>
    </font>
    <font>
      <i val="1"/>
      <sz val="11"/>
      <color indexed="8"/>
      <name val="Avenir Next Regular"/>
    </font>
    <font>
      <sz val="11"/>
      <color indexed="8"/>
      <name val="Avenir Next Regular"/>
    </font>
    <font>
      <b val="1"/>
      <sz val="10"/>
      <color indexed="24"/>
      <name val="Avenir Next Regular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</fills>
  <borders count="5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>
        <color indexed="8"/>
      </bottom>
      <diagonal/>
    </border>
    <border>
      <left/>
      <right/>
      <top>
        <color indexed="8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dotted">
        <color indexed="14"/>
      </right>
      <top style="thin">
        <color indexed="11"/>
      </top>
      <bottom style="dotted">
        <color indexed="14"/>
      </bottom>
      <diagonal/>
    </border>
    <border>
      <left style="dotted">
        <color indexed="14"/>
      </left>
      <right style="dotted">
        <color indexed="14"/>
      </right>
      <top style="thin">
        <color indexed="11"/>
      </top>
      <bottom style="dotted">
        <color indexed="14"/>
      </bottom>
      <diagonal/>
    </border>
    <border>
      <left style="dotted">
        <color indexed="14"/>
      </left>
      <right/>
      <top style="thin">
        <color indexed="11"/>
      </top>
      <bottom style="dotted">
        <color indexed="14"/>
      </bottom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dotted">
        <color indexed="14"/>
      </right>
      <top style="dotted">
        <color indexed="14"/>
      </top>
      <bottom style="dotted">
        <color indexed="14"/>
      </bottom>
      <diagonal/>
    </border>
    <border>
      <left style="dotted">
        <color indexed="14"/>
      </left>
      <right style="dotted">
        <color indexed="14"/>
      </right>
      <top style="dotted">
        <color indexed="14"/>
      </top>
      <bottom style="dotted">
        <color indexed="14"/>
      </bottom>
      <diagonal/>
    </border>
    <border>
      <left style="dotted">
        <color indexed="14"/>
      </left>
      <right/>
      <top style="dotted">
        <color indexed="14"/>
      </top>
      <bottom style="dotted">
        <color indexed="14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dotted">
        <color indexed="14"/>
      </right>
      <top style="dotted">
        <color indexed="14"/>
      </top>
      <bottom style="thin">
        <color indexed="11"/>
      </bottom>
      <diagonal/>
    </border>
    <border>
      <left style="dotted">
        <color indexed="14"/>
      </left>
      <right style="dotted">
        <color indexed="14"/>
      </right>
      <top style="dotted">
        <color indexed="14"/>
      </top>
      <bottom style="thin">
        <color indexed="11"/>
      </bottom>
      <diagonal/>
    </border>
    <border>
      <left style="dotted">
        <color indexed="14"/>
      </left>
      <right/>
      <top style="dotted">
        <color indexed="14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dotted">
        <color indexed="14"/>
      </bottom>
      <diagonal/>
    </border>
    <border>
      <left/>
      <right/>
      <top/>
      <bottom style="dotted">
        <color indexed="14"/>
      </bottom>
      <diagonal/>
    </border>
    <border>
      <left/>
      <right/>
      <top style="dotted">
        <color indexed="14"/>
      </top>
      <bottom style="dotted">
        <color indexed="14"/>
      </bottom>
      <diagonal/>
    </border>
    <border>
      <left/>
      <right>
        <color indexed="8"/>
      </right>
      <top/>
      <bottom/>
      <diagonal/>
    </border>
    <border>
      <left>
        <color indexed="8"/>
      </left>
      <right style="thin">
        <color indexed="11"/>
      </right>
      <top/>
      <bottom/>
      <diagonal/>
    </border>
    <border>
      <left style="thin">
        <color indexed="11"/>
      </left>
      <right style="dotted">
        <color indexed="14"/>
      </right>
      <top/>
      <bottom/>
      <diagonal/>
    </border>
    <border>
      <left style="dotted">
        <color indexed="14"/>
      </left>
      <right style="dotted">
        <color indexed="14"/>
      </right>
      <top/>
      <bottom/>
      <diagonal/>
    </border>
    <border>
      <left style="dotted">
        <color indexed="14"/>
      </left>
      <right/>
      <top/>
      <bottom/>
      <diagonal/>
    </border>
    <border>
      <left/>
      <right style="dotted">
        <color indexed="14"/>
      </right>
      <top/>
      <bottom/>
      <diagonal/>
    </border>
    <border>
      <left style="dotted">
        <color indexed="14"/>
      </left>
      <right style="dotted">
        <color indexed="14"/>
      </right>
      <top style="dotted">
        <color indexed="14"/>
      </top>
      <bottom/>
      <diagonal/>
    </border>
    <border>
      <left style="dotted">
        <color indexed="14"/>
      </left>
      <right/>
      <top style="dotted">
        <color indexed="14"/>
      </top>
      <bottom/>
      <diagonal/>
    </border>
    <border>
      <left/>
      <right/>
      <top/>
      <bottom style="thin">
        <color indexed="20"/>
      </bottom>
      <diagonal/>
    </border>
    <border>
      <left/>
      <right>
        <color indexed="8"/>
      </right>
      <top style="thin">
        <color indexed="20"/>
      </top>
      <bottom/>
      <diagonal/>
    </border>
    <border>
      <left>
        <color indexed="8"/>
      </left>
      <right/>
      <top style="thin">
        <color indexed="20"/>
      </top>
      <bottom/>
      <diagonal/>
    </border>
    <border>
      <left/>
      <right/>
      <top style="thin">
        <color indexed="20"/>
      </top>
      <bottom/>
      <diagonal/>
    </border>
    <border>
      <left>
        <color indexed="8"/>
      </left>
      <right/>
      <top/>
      <bottom/>
      <diagonal/>
    </border>
    <border>
      <left/>
      <right>
        <color indexed="8"/>
      </right>
      <top/>
      <bottom style="thin">
        <color indexed="20"/>
      </bottom>
      <diagonal/>
    </border>
    <border>
      <left>
        <color indexed="8"/>
      </left>
      <right/>
      <top/>
      <bottom style="thin">
        <color indexed="20"/>
      </bottom>
      <diagonal/>
    </border>
    <border>
      <left style="dotted">
        <color indexed="14"/>
      </left>
      <right style="dotted">
        <color indexed="14"/>
      </right>
      <top/>
      <bottom style="dotted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7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/>
    </xf>
    <xf numFmtId="0" fontId="3" applyNumberFormat="0" applyFont="1" applyFill="0" applyBorder="0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top"/>
    </xf>
    <xf numFmtId="49" fontId="4" fillId="3" borderId="2" applyNumberFormat="1" applyFont="1" applyFill="1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/>
    </xf>
    <xf numFmtId="3" fontId="2" borderId="4" applyNumberFormat="1" applyFont="1" applyFill="0" applyBorder="1" applyAlignment="1" applyProtection="0">
      <alignment vertical="top"/>
    </xf>
    <xf numFmtId="0" fontId="2" borderId="4" applyNumberFormat="0" applyFont="1" applyFill="0" applyBorder="1" applyAlignment="1" applyProtection="0">
      <alignment vertical="top"/>
    </xf>
    <xf numFmtId="49" fontId="4" fillId="3" borderId="5" applyNumberFormat="1" applyFont="1" applyFill="1" applyBorder="1" applyAlignment="1" applyProtection="0">
      <alignment vertical="top"/>
    </xf>
    <xf numFmtId="49" fontId="2" borderId="6" applyNumberFormat="1" applyFont="1" applyFill="0" applyBorder="1" applyAlignment="1" applyProtection="0">
      <alignment vertical="top"/>
    </xf>
    <xf numFmtId="0" fontId="2" borderId="7" applyNumberFormat="1" applyFont="1" applyFill="0" applyBorder="1" applyAlignment="1" applyProtection="0">
      <alignment vertical="top"/>
    </xf>
    <xf numFmtId="3" fontId="2" borderId="7" applyNumberFormat="1" applyFont="1" applyFill="0" applyBorder="1" applyAlignment="1" applyProtection="0">
      <alignment vertical="top"/>
    </xf>
    <xf numFmtId="0" fontId="2" borderId="7" applyNumberFormat="0" applyFont="1" applyFill="0" applyBorder="1" applyAlignment="1" applyProtection="0">
      <alignment vertical="top"/>
    </xf>
    <xf numFmtId="4" fontId="2" borderId="7" applyNumberFormat="1" applyFont="1" applyFill="0" applyBorder="1" applyAlignment="1" applyProtection="0">
      <alignment vertical="top"/>
    </xf>
    <xf numFmtId="49" fontId="4" fillId="3" borderId="8" applyNumberFormat="1" applyFont="1" applyFill="1" applyBorder="1" applyAlignment="1" applyProtection="0">
      <alignment vertical="top"/>
    </xf>
    <xf numFmtId="0" fontId="2" borderId="9" applyNumberFormat="0" applyFont="1" applyFill="0" applyBorder="1" applyAlignment="1" applyProtection="0">
      <alignment vertical="top"/>
    </xf>
    <xf numFmtId="49" fontId="4" fillId="3" borderId="10" applyNumberFormat="1" applyFont="1" applyFill="1" applyBorder="1" applyAlignment="1" applyProtection="0">
      <alignment vertical="top"/>
    </xf>
    <xf numFmtId="0" fontId="2" borderId="6" applyNumberFormat="0" applyFont="1" applyFill="0" applyBorder="1" applyAlignment="1" applyProtection="0">
      <alignment vertical="top"/>
    </xf>
    <xf numFmtId="0" fontId="2" borderId="11" applyNumberFormat="0" applyFont="1" applyFill="0" applyBorder="1" applyAlignment="1" applyProtection="0">
      <alignment vertical="top"/>
    </xf>
    <xf numFmtId="59" fontId="2" borderId="12" applyNumberFormat="1" applyFont="1" applyFill="0" applyBorder="1" applyAlignment="1" applyProtection="0">
      <alignment vertical="top"/>
    </xf>
    <xf numFmtId="0" fontId="2" borderId="13" applyNumberFormat="0" applyFont="1" applyFill="0" applyBorder="1" applyAlignment="1" applyProtection="0">
      <alignment vertical="top"/>
    </xf>
    <xf numFmtId="60" fontId="2" borderId="12" applyNumberFormat="1" applyFont="1" applyFill="0" applyBorder="1" applyAlignment="1" applyProtection="0">
      <alignment vertical="top"/>
    </xf>
    <xf numFmtId="38" fontId="5" borderId="12" applyNumberFormat="1" applyFont="1" applyFill="0" applyBorder="1" applyAlignment="1" applyProtection="0">
      <alignment vertical="top"/>
    </xf>
    <xf numFmtId="0" fontId="2" borderId="14" applyNumberFormat="0" applyFont="1" applyFill="0" applyBorder="1" applyAlignment="1" applyProtection="0">
      <alignment vertical="top"/>
    </xf>
    <xf numFmtId="59" fontId="2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0" fontId="6" borderId="15" applyNumberFormat="0" applyFont="1" applyFill="0" applyBorder="1" applyAlignment="1" applyProtection="0">
      <alignment horizontal="center" vertical="center" wrapText="1"/>
    </xf>
    <xf numFmtId="49" fontId="6" borderId="15" applyNumberFormat="1" applyFont="1" applyFill="0" applyBorder="1" applyAlignment="1" applyProtection="0">
      <alignment horizontal="center" vertical="center" wrapText="1"/>
    </xf>
    <xf numFmtId="0" fontId="6" borderId="15" applyNumberFormat="0" applyFont="1" applyFill="0" applyBorder="1" applyAlignment="1" applyProtection="0">
      <alignment horizontal="center" vertical="top" wrapText="1"/>
    </xf>
    <xf numFmtId="0" fontId="7" borderId="15" applyNumberFormat="0" applyFont="1" applyFill="0" applyBorder="1" applyAlignment="1" applyProtection="0">
      <alignment vertical="top" wrapText="1"/>
    </xf>
    <xf numFmtId="0" fontId="7" borderId="16" applyNumberFormat="0" applyFont="1" applyFill="0" applyBorder="1" applyAlignment="1" applyProtection="0">
      <alignment vertical="top" wrapText="1"/>
    </xf>
    <xf numFmtId="49" fontId="6" borderId="16" applyNumberFormat="1" applyFont="1" applyFill="0" applyBorder="1" applyAlignment="1" applyProtection="0">
      <alignment horizontal="center" vertical="top" wrapText="1"/>
    </xf>
    <xf numFmtId="49" fontId="7" borderId="16" applyNumberFormat="1" applyFont="1" applyFill="0" applyBorder="1" applyAlignment="1" applyProtection="0">
      <alignment vertical="top" wrapText="1"/>
    </xf>
    <xf numFmtId="49" fontId="6" borderId="16" applyNumberFormat="1" applyFont="1" applyFill="0" applyBorder="1" applyAlignment="1" applyProtection="0">
      <alignment horizontal="center" vertical="center" wrapText="1"/>
    </xf>
    <xf numFmtId="49" fontId="8" borderId="17" applyNumberFormat="1" applyFont="1" applyFill="0" applyBorder="1" applyAlignment="1" applyProtection="0">
      <alignment vertical="top" wrapText="1"/>
    </xf>
    <xf numFmtId="3" fontId="8" borderId="18" applyNumberFormat="1" applyFont="1" applyFill="0" applyBorder="1" applyAlignment="1" applyProtection="0">
      <alignment vertical="top" wrapText="1"/>
    </xf>
    <xf numFmtId="3" fontId="8" borderId="19" applyNumberFormat="1" applyFont="1" applyFill="0" applyBorder="1" applyAlignment="1" applyProtection="0">
      <alignment vertical="top" wrapText="1"/>
    </xf>
    <xf numFmtId="38" fontId="8" borderId="19" applyNumberFormat="1" applyFont="1" applyFill="0" applyBorder="1" applyAlignment="1" applyProtection="0">
      <alignment vertical="top" wrapText="1"/>
    </xf>
    <xf numFmtId="3" fontId="8" borderId="20" applyNumberFormat="1" applyFont="1" applyFill="0" applyBorder="1" applyAlignment="1" applyProtection="0">
      <alignment vertical="top" wrapText="1"/>
    </xf>
    <xf numFmtId="49" fontId="6" borderId="21" applyNumberFormat="1" applyFont="1" applyFill="0" applyBorder="1" applyAlignment="1" applyProtection="0">
      <alignment vertical="top" wrapText="1"/>
    </xf>
    <xf numFmtId="3" fontId="6" fillId="4" borderId="22" applyNumberFormat="1" applyFont="1" applyFill="1" applyBorder="1" applyAlignment="1" applyProtection="0">
      <alignment vertical="top" wrapText="1"/>
    </xf>
    <xf numFmtId="3" fontId="6" fillId="4" borderId="23" applyNumberFormat="1" applyFont="1" applyFill="1" applyBorder="1" applyAlignment="1" applyProtection="0">
      <alignment vertical="top" wrapText="1"/>
    </xf>
    <xf numFmtId="38" fontId="6" fillId="4" borderId="23" applyNumberFormat="1" applyFont="1" applyFill="1" applyBorder="1" applyAlignment="1" applyProtection="0">
      <alignment vertical="top" wrapText="1"/>
    </xf>
    <xf numFmtId="3" fontId="8" fillId="4" borderId="23" applyNumberFormat="1" applyFont="1" applyFill="1" applyBorder="1" applyAlignment="1" applyProtection="0">
      <alignment vertical="top" wrapText="1"/>
    </xf>
    <xf numFmtId="38" fontId="8" fillId="4" borderId="23" applyNumberFormat="1" applyFont="1" applyFill="1" applyBorder="1" applyAlignment="1" applyProtection="0">
      <alignment vertical="top" wrapText="1"/>
    </xf>
    <xf numFmtId="3" fontId="8" fillId="4" borderId="24" applyNumberFormat="1" applyFont="1" applyFill="1" applyBorder="1" applyAlignment="1" applyProtection="0">
      <alignment vertical="top" wrapText="1"/>
    </xf>
    <xf numFmtId="3" fontId="6" borderId="22" applyNumberFormat="1" applyFont="1" applyFill="0" applyBorder="1" applyAlignment="1" applyProtection="0">
      <alignment vertical="top" wrapText="1"/>
    </xf>
    <xf numFmtId="3" fontId="6" borderId="23" applyNumberFormat="1" applyFont="1" applyFill="0" applyBorder="1" applyAlignment="1" applyProtection="0">
      <alignment vertical="top" wrapText="1"/>
    </xf>
    <xf numFmtId="38" fontId="6" borderId="23" applyNumberFormat="1" applyFont="1" applyFill="0" applyBorder="1" applyAlignment="1" applyProtection="0">
      <alignment vertical="top" wrapText="1"/>
    </xf>
    <xf numFmtId="3" fontId="8" borderId="23" applyNumberFormat="1" applyFont="1" applyFill="0" applyBorder="1" applyAlignment="1" applyProtection="0">
      <alignment vertical="top" wrapText="1"/>
    </xf>
    <xf numFmtId="38" fontId="8" borderId="23" applyNumberFormat="1" applyFont="1" applyFill="0" applyBorder="1" applyAlignment="1" applyProtection="0">
      <alignment vertical="top" wrapText="1"/>
    </xf>
    <xf numFmtId="3" fontId="8" borderId="24" applyNumberFormat="1" applyFont="1" applyFill="0" applyBorder="1" applyAlignment="1" applyProtection="0">
      <alignment vertical="top" wrapText="1"/>
    </xf>
    <xf numFmtId="49" fontId="6" borderId="25" applyNumberFormat="1" applyFont="1" applyFill="0" applyBorder="1" applyAlignment="1" applyProtection="0">
      <alignment vertical="top" wrapText="1"/>
    </xf>
    <xf numFmtId="3" fontId="6" fillId="4" borderId="26" applyNumberFormat="1" applyFont="1" applyFill="1" applyBorder="1" applyAlignment="1" applyProtection="0">
      <alignment vertical="top" wrapText="1"/>
    </xf>
    <xf numFmtId="3" fontId="6" fillId="4" borderId="27" applyNumberFormat="1" applyFont="1" applyFill="1" applyBorder="1" applyAlignment="1" applyProtection="0">
      <alignment vertical="top" wrapText="1"/>
    </xf>
    <xf numFmtId="38" fontId="6" fillId="4" borderId="27" applyNumberFormat="1" applyFont="1" applyFill="1" applyBorder="1" applyAlignment="1" applyProtection="0">
      <alignment vertical="top" wrapText="1"/>
    </xf>
    <xf numFmtId="3" fontId="8" fillId="4" borderId="27" applyNumberFormat="1" applyFont="1" applyFill="1" applyBorder="1" applyAlignment="1" applyProtection="0">
      <alignment vertical="top" wrapText="1"/>
    </xf>
    <xf numFmtId="38" fontId="8" fillId="4" borderId="27" applyNumberFormat="1" applyFont="1" applyFill="1" applyBorder="1" applyAlignment="1" applyProtection="0">
      <alignment vertical="top" wrapText="1"/>
    </xf>
    <xf numFmtId="3" fontId="8" fillId="4" borderId="28" applyNumberFormat="1" applyFont="1" applyFill="1" applyBorder="1" applyAlignment="1" applyProtection="0">
      <alignment vertical="top" wrapText="1"/>
    </xf>
    <xf numFmtId="49" fontId="6" borderId="29" applyNumberFormat="1" applyFont="1" applyFill="0" applyBorder="1" applyAlignment="1" applyProtection="0">
      <alignment vertical="top" wrapText="1"/>
    </xf>
    <xf numFmtId="60" fontId="6" borderId="29" applyNumberFormat="1" applyFont="1" applyFill="0" applyBorder="1" applyAlignment="1" applyProtection="0">
      <alignment vertical="top" wrapText="1"/>
    </xf>
    <xf numFmtId="38" fontId="6" borderId="29" applyNumberFormat="1" applyFont="1" applyFill="0" applyBorder="1" applyAlignment="1" applyProtection="0">
      <alignment vertical="top" wrapText="1"/>
    </xf>
    <xf numFmtId="3" fontId="6" borderId="29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9" applyNumberFormat="0" applyFont="1" applyFill="0" applyBorder="0" applyAlignment="1" applyProtection="0">
      <alignment horizontal="center" vertical="center"/>
    </xf>
    <xf numFmtId="49" fontId="6" borderId="12" applyNumberFormat="1" applyFont="1" applyFill="0" applyBorder="1" applyAlignment="1" applyProtection="0">
      <alignment horizontal="center" vertical="top" wrapText="1"/>
    </xf>
    <xf numFmtId="0" fontId="6" borderId="30" applyNumberFormat="1" applyFont="1" applyFill="0" applyBorder="1" applyAlignment="1" applyProtection="0">
      <alignment horizontal="center" vertical="top" wrapText="1"/>
    </xf>
    <xf numFmtId="49" fontId="6" borderId="12" applyNumberFormat="1" applyFont="1" applyFill="0" applyBorder="1" applyAlignment="1" applyProtection="0">
      <alignment vertical="top" wrapText="1"/>
    </xf>
    <xf numFmtId="49" fontId="6" fillId="5" borderId="30" applyNumberFormat="1" applyFont="1" applyFill="1" applyBorder="1" applyAlignment="1" applyProtection="0">
      <alignment vertical="top" wrapText="1"/>
    </xf>
    <xf numFmtId="0" fontId="6" borderId="12" applyNumberFormat="0" applyFont="1" applyFill="0" applyBorder="1" applyAlignment="1" applyProtection="0">
      <alignment vertical="top" wrapText="1"/>
    </xf>
    <xf numFmtId="38" fontId="6" borderId="12" applyNumberFormat="1" applyFont="1" applyFill="0" applyBorder="1" applyAlignment="1" applyProtection="0">
      <alignment vertical="top" wrapText="1"/>
    </xf>
    <xf numFmtId="38" fontId="8" borderId="12" applyNumberFormat="1" applyFont="1" applyFill="0" applyBorder="1" applyAlignment="1" applyProtection="0">
      <alignment vertical="top" wrapText="1"/>
    </xf>
    <xf numFmtId="3" fontId="6" borderId="12" applyNumberFormat="1" applyFont="1" applyFill="0" applyBorder="1" applyAlignment="1" applyProtection="0">
      <alignment vertical="top" wrapText="1"/>
    </xf>
    <xf numFmtId="3" fontId="8" borderId="12" applyNumberFormat="1" applyFont="1" applyFill="0" applyBorder="1" applyAlignment="1" applyProtection="0">
      <alignment vertical="top" wrapText="1"/>
    </xf>
    <xf numFmtId="3" fontId="8" borderId="31" applyNumberFormat="1" applyFont="1" applyFill="0" applyBorder="1" applyAlignment="1" applyProtection="0">
      <alignment vertical="top" wrapText="1"/>
    </xf>
    <xf numFmtId="3" fontId="8" borderId="32" applyNumberFormat="1" applyFont="1" applyFill="0" applyBorder="1" applyAlignment="1" applyProtection="0">
      <alignment vertical="top" wrapText="1"/>
    </xf>
    <xf numFmtId="38" fontId="6" fillId="4" borderId="12" applyNumberFormat="1" applyFont="1" applyFill="1" applyBorder="1" applyAlignment="1" applyProtection="0">
      <alignment vertical="top" wrapText="1"/>
    </xf>
    <xf numFmtId="38" fontId="8" fillId="4" borderId="12" applyNumberFormat="1" applyFont="1" applyFill="1" applyBorder="1" applyAlignment="1" applyProtection="0">
      <alignment vertical="top" wrapText="1"/>
    </xf>
    <xf numFmtId="3" fontId="6" fillId="4" borderId="12" applyNumberFormat="1" applyFont="1" applyFill="1" applyBorder="1" applyAlignment="1" applyProtection="0">
      <alignment vertical="top" wrapText="1"/>
    </xf>
    <xf numFmtId="3" fontId="8" fillId="4" borderId="12" applyNumberFormat="1" applyFont="1" applyFill="1" applyBorder="1" applyAlignment="1" applyProtection="0">
      <alignment vertical="top" wrapText="1"/>
    </xf>
    <xf numFmtId="3" fontId="8" fillId="4" borderId="33" applyNumberFormat="1" applyFont="1" applyFill="1" applyBorder="1" applyAlignment="1" applyProtection="0">
      <alignment vertical="top" wrapText="1"/>
    </xf>
    <xf numFmtId="3" fontId="8" borderId="33" applyNumberFormat="1" applyFont="1" applyFill="0" applyBorder="1" applyAlignment="1" applyProtection="0">
      <alignment vertical="top" wrapText="1"/>
    </xf>
    <xf numFmtId="49" fontId="6" borderId="34" applyNumberFormat="1" applyFont="1" applyFill="0" applyBorder="1" applyAlignment="1" applyProtection="0">
      <alignment vertical="top" wrapText="1"/>
    </xf>
    <xf numFmtId="49" fontId="8" borderId="35" applyNumberFormat="1" applyFont="1" applyFill="0" applyBorder="1" applyAlignment="1" applyProtection="0">
      <alignment vertical="top" wrapText="1"/>
    </xf>
    <xf numFmtId="3" fontId="6" borderId="36" applyNumberFormat="1" applyFont="1" applyFill="0" applyBorder="1" applyAlignment="1" applyProtection="0">
      <alignment vertical="top" wrapText="1"/>
    </xf>
    <xf numFmtId="38" fontId="8" borderId="37" applyNumberFormat="1" applyFont="1" applyFill="0" applyBorder="1" applyAlignment="1" applyProtection="0">
      <alignment vertical="top" wrapText="1"/>
    </xf>
    <xf numFmtId="3" fontId="6" borderId="37" applyNumberFormat="1" applyFont="1" applyFill="0" applyBorder="1" applyAlignment="1" applyProtection="0">
      <alignment vertical="top" wrapText="1"/>
    </xf>
    <xf numFmtId="3" fontId="8" borderId="37" applyNumberFormat="1" applyFont="1" applyFill="0" applyBorder="1" applyAlignment="1" applyProtection="0">
      <alignment vertical="top" wrapText="1"/>
    </xf>
    <xf numFmtId="3" fontId="8" borderId="38" applyNumberFormat="1" applyFont="1" applyFill="0" applyBorder="1" applyAlignment="1" applyProtection="0">
      <alignment vertical="top" wrapText="1"/>
    </xf>
    <xf numFmtId="3" fontId="8" borderId="39" applyNumberFormat="1" applyFont="1" applyFill="0" applyBorder="1" applyAlignment="1" applyProtection="0">
      <alignment vertical="top" wrapText="1"/>
    </xf>
    <xf numFmtId="3" fontId="6" fillId="4" borderId="36" applyNumberFormat="1" applyFont="1" applyFill="1" applyBorder="1" applyAlignment="1" applyProtection="0">
      <alignment vertical="top" wrapText="1"/>
    </xf>
    <xf numFmtId="38" fontId="8" fillId="4" borderId="37" applyNumberFormat="1" applyFont="1" applyFill="1" applyBorder="1" applyAlignment="1" applyProtection="0">
      <alignment vertical="top" wrapText="1"/>
    </xf>
    <xf numFmtId="3" fontId="6" fillId="4" borderId="37" applyNumberFormat="1" applyFont="1" applyFill="1" applyBorder="1" applyAlignment="1" applyProtection="0">
      <alignment vertical="top" wrapText="1"/>
    </xf>
    <xf numFmtId="3" fontId="8" fillId="4" borderId="37" applyNumberFormat="1" applyFont="1" applyFill="1" applyBorder="1" applyAlignment="1" applyProtection="0">
      <alignment vertical="top" wrapText="1"/>
    </xf>
    <xf numFmtId="3" fontId="8" fillId="4" borderId="38" applyNumberFormat="1" applyFont="1" applyFill="1" applyBorder="1" applyAlignment="1" applyProtection="0">
      <alignment vertical="top" wrapText="1"/>
    </xf>
    <xf numFmtId="3" fontId="8" fillId="4" borderId="39" applyNumberFormat="1" applyFont="1" applyFill="1" applyBorder="1" applyAlignment="1" applyProtection="0">
      <alignment vertical="top" wrapText="1"/>
    </xf>
    <xf numFmtId="3" fontId="8" fillId="4" borderId="40" applyNumberFormat="1" applyFont="1" applyFill="1" applyBorder="1" applyAlignment="1" applyProtection="0">
      <alignment vertical="top" wrapText="1"/>
    </xf>
    <xf numFmtId="3" fontId="8" fillId="4" borderId="41" applyNumberFormat="1" applyFont="1" applyFill="1" applyBorder="1" applyAlignment="1" applyProtection="0">
      <alignment vertical="top" wrapText="1"/>
    </xf>
    <xf numFmtId="0" fontId="6" borderId="35" applyNumberFormat="0" applyFont="1" applyFill="0" applyBorder="1" applyAlignment="1" applyProtection="0">
      <alignment vertical="top" wrapText="1"/>
    </xf>
    <xf numFmtId="3" fontId="6" fillId="6" borderId="23" applyNumberFormat="1" applyFont="1" applyFill="1" applyBorder="1" applyAlignment="1" applyProtection="0">
      <alignment vertical="top" wrapText="1"/>
    </xf>
    <xf numFmtId="61" fontId="8" borderId="37" applyNumberFormat="1" applyFont="1" applyFill="0" applyBorder="1" applyAlignment="1" applyProtection="0">
      <alignment vertical="top" wrapText="1"/>
    </xf>
    <xf numFmtId="62" fontId="8" fillId="5" borderId="23" applyNumberFormat="1" applyFont="1" applyFill="1" applyBorder="1" applyAlignment="1" applyProtection="0">
      <alignment vertical="top" wrapText="1"/>
    </xf>
    <xf numFmtId="62" fontId="8" fillId="5" borderId="24" applyNumberFormat="1" applyFont="1" applyFill="1" applyBorder="1" applyAlignment="1" applyProtection="0">
      <alignment vertical="top" wrapText="1"/>
    </xf>
    <xf numFmtId="61" fontId="8" fillId="4" borderId="37" applyNumberFormat="1" applyFont="1" applyFill="1" applyBorder="1" applyAlignment="1" applyProtection="0">
      <alignment vertical="top" wrapText="1"/>
    </xf>
    <xf numFmtId="3" fontId="6" fillId="6" borderId="40" applyNumberFormat="1" applyFont="1" applyFill="1" applyBorder="1" applyAlignment="1" applyProtection="0">
      <alignment vertical="top" wrapText="1"/>
    </xf>
    <xf numFmtId="62" fontId="8" fillId="5" borderId="40" applyNumberFormat="1" applyFont="1" applyFill="1" applyBorder="1" applyAlignment="1" applyProtection="0">
      <alignment vertical="top" wrapText="1"/>
    </xf>
    <xf numFmtId="62" fontId="8" fillId="5" borderId="4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0" applyNumberFormat="0" applyFont="1" applyFill="0" applyBorder="0" applyAlignment="1" applyProtection="0">
      <alignment horizontal="center" vertical="center"/>
    </xf>
    <xf numFmtId="0" fontId="7" borderId="42" applyNumberFormat="0" applyFont="1" applyFill="0" applyBorder="1" applyAlignment="1" applyProtection="0">
      <alignment horizontal="center" vertical="top" wrapText="1"/>
    </xf>
    <xf numFmtId="49" fontId="7" borderId="42" applyNumberFormat="1" applyFont="1" applyFill="0" applyBorder="1" applyAlignment="1" applyProtection="0">
      <alignment horizontal="center" vertical="top" wrapText="1"/>
    </xf>
    <xf numFmtId="0" fontId="7" borderId="42" applyNumberFormat="1" applyFont="1" applyFill="0" applyBorder="1" applyAlignment="1" applyProtection="0">
      <alignment horizontal="center" vertical="top" wrapText="1"/>
    </xf>
    <xf numFmtId="49" fontId="11" fillId="7" borderId="43" applyNumberFormat="1" applyFont="1" applyFill="1" applyBorder="1" applyAlignment="1" applyProtection="0">
      <alignment vertical="top" wrapText="1"/>
    </xf>
    <xf numFmtId="3" fontId="12" borderId="44" applyNumberFormat="1" applyFont="1" applyFill="0" applyBorder="1" applyAlignment="1" applyProtection="0">
      <alignment vertical="top" wrapText="1"/>
    </xf>
    <xf numFmtId="3" fontId="12" borderId="45" applyNumberFormat="1" applyFont="1" applyFill="0" applyBorder="1" applyAlignment="1" applyProtection="0">
      <alignment vertical="top" wrapText="1"/>
    </xf>
    <xf numFmtId="0" fontId="12" borderId="45" applyNumberFormat="0" applyFont="1" applyFill="0" applyBorder="1" applyAlignment="1" applyProtection="0">
      <alignment vertical="top" wrapText="1"/>
    </xf>
    <xf numFmtId="49" fontId="13" fillId="7" borderId="34" applyNumberFormat="1" applyFont="1" applyFill="1" applyBorder="1" applyAlignment="1" applyProtection="0">
      <alignment vertical="top" wrapText="1"/>
    </xf>
    <xf numFmtId="3" fontId="14" fillId="4" borderId="46" applyNumberFormat="1" applyFont="1" applyFill="1" applyBorder="1" applyAlignment="1" applyProtection="0">
      <alignment vertical="top" wrapText="1"/>
    </xf>
    <xf numFmtId="0" fontId="14" fillId="4" borderId="12" applyNumberFormat="0" applyFont="1" applyFill="1" applyBorder="1" applyAlignment="1" applyProtection="0">
      <alignment vertical="top" wrapText="1"/>
    </xf>
    <xf numFmtId="0" fontId="8" fillId="4" borderId="12" applyNumberFormat="0" applyFont="1" applyFill="1" applyBorder="1" applyAlignment="1" applyProtection="0">
      <alignment vertical="top" wrapText="1"/>
    </xf>
    <xf numFmtId="3" fontId="14" borderId="46" applyNumberFormat="1" applyFont="1" applyFill="0" applyBorder="1" applyAlignment="1" applyProtection="0">
      <alignment vertical="top" wrapText="1"/>
    </xf>
    <xf numFmtId="0" fontId="14" borderId="12" applyNumberFormat="0" applyFont="1" applyFill="0" applyBorder="1" applyAlignment="1" applyProtection="0">
      <alignment vertical="top" wrapText="1"/>
    </xf>
    <xf numFmtId="0" fontId="8" borderId="12" applyNumberFormat="0" applyFont="1" applyFill="0" applyBorder="1" applyAlignment="1" applyProtection="0">
      <alignment vertical="top" wrapText="1"/>
    </xf>
    <xf numFmtId="49" fontId="11" fillId="7" borderId="34" applyNumberFormat="1" applyFont="1" applyFill="1" applyBorder="1" applyAlignment="1" applyProtection="0">
      <alignment vertical="top" wrapText="1"/>
    </xf>
    <xf numFmtId="3" fontId="12" fillId="4" borderId="46" applyNumberFormat="1" applyFont="1" applyFill="1" applyBorder="1" applyAlignment="1" applyProtection="0">
      <alignment vertical="top" wrapText="1"/>
    </xf>
    <xf numFmtId="3" fontId="12" fillId="4" borderId="12" applyNumberFormat="1" applyFont="1" applyFill="1" applyBorder="1" applyAlignment="1" applyProtection="0">
      <alignment vertical="top" wrapText="1"/>
    </xf>
    <xf numFmtId="0" fontId="12" fillId="4" borderId="12" applyNumberFormat="0" applyFont="1" applyFill="1" applyBorder="1" applyAlignment="1" applyProtection="0">
      <alignment vertical="top" wrapText="1"/>
    </xf>
    <xf numFmtId="49" fontId="13" fillId="7" borderId="47" applyNumberFormat="1" applyFont="1" applyFill="1" applyBorder="1" applyAlignment="1" applyProtection="0">
      <alignment vertical="top" wrapText="1"/>
    </xf>
    <xf numFmtId="3" fontId="14" borderId="48" applyNumberFormat="1" applyFont="1" applyFill="0" applyBorder="1" applyAlignment="1" applyProtection="0">
      <alignment vertical="top" wrapText="1"/>
    </xf>
    <xf numFmtId="0" fontId="14" borderId="42" applyNumberFormat="0" applyFont="1" applyFill="0" applyBorder="1" applyAlignment="1" applyProtection="0">
      <alignment vertical="top" wrapText="1"/>
    </xf>
    <xf numFmtId="0" fontId="8" borderId="42" applyNumberFormat="0" applyFont="1" applyFill="0" applyBorder="1" applyAlignment="1" applyProtection="0">
      <alignment vertical="top" wrapText="1"/>
    </xf>
    <xf numFmtId="0" fontId="15" borderId="45" applyNumberFormat="0" applyFont="1" applyFill="0" applyBorder="1" applyAlignment="1" applyProtection="0">
      <alignment vertical="top" wrapText="1"/>
    </xf>
    <xf numFmtId="3" fontId="15" borderId="45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6" applyNumberFormat="0" applyFont="1" applyFill="0" applyBorder="0" applyAlignment="1" applyProtection="0">
      <alignment horizontal="center" vertical="center"/>
    </xf>
    <xf numFmtId="49" fontId="17" borderId="12" applyNumberFormat="1" applyFont="1" applyFill="0" applyBorder="1" applyAlignment="1" applyProtection="0">
      <alignment horizontal="center" vertical="top" wrapText="1"/>
    </xf>
    <xf numFmtId="49" fontId="17" borderId="30" applyNumberFormat="1" applyFont="1" applyFill="0" applyBorder="1" applyAlignment="1" applyProtection="0">
      <alignment horizontal="center" vertical="top" wrapText="1"/>
    </xf>
    <xf numFmtId="0" fontId="18" borderId="21" applyNumberFormat="1" applyFont="1" applyFill="0" applyBorder="1" applyAlignment="1" applyProtection="0">
      <alignment horizontal="center" vertical="top" wrapText="1"/>
    </xf>
    <xf numFmtId="38" fontId="14" borderId="36" applyNumberFormat="1" applyFont="1" applyFill="0" applyBorder="1" applyAlignment="1" applyProtection="0">
      <alignment vertical="top" wrapText="1"/>
    </xf>
    <xf numFmtId="38" fontId="19" borderId="37" applyNumberFormat="1" applyFont="1" applyFill="0" applyBorder="1" applyAlignment="1" applyProtection="0">
      <alignment vertical="top" wrapText="1"/>
    </xf>
    <xf numFmtId="38" fontId="20" borderId="37" applyNumberFormat="1" applyFont="1" applyFill="0" applyBorder="1" applyAlignment="1" applyProtection="0">
      <alignment vertical="top" wrapText="1"/>
    </xf>
    <xf numFmtId="38" fontId="17" borderId="19" applyNumberFormat="1" applyFont="1" applyFill="0" applyBorder="1" applyAlignment="1" applyProtection="0">
      <alignment vertical="top" wrapText="1"/>
    </xf>
    <xf numFmtId="38" fontId="20" borderId="19" applyNumberFormat="1" applyFont="1" applyFill="0" applyBorder="1" applyAlignment="1" applyProtection="0">
      <alignment vertical="top" wrapText="1"/>
    </xf>
    <xf numFmtId="38" fontId="20" borderId="20" applyNumberFormat="1" applyFont="1" applyFill="0" applyBorder="1" applyAlignment="1" applyProtection="0">
      <alignment vertical="top" wrapText="1"/>
    </xf>
    <xf numFmtId="38" fontId="14" fillId="4" borderId="36" applyNumberFormat="1" applyFont="1" applyFill="1" applyBorder="1" applyAlignment="1" applyProtection="0">
      <alignment vertical="top" wrapText="1"/>
    </xf>
    <xf numFmtId="38" fontId="19" fillId="4" borderId="37" applyNumberFormat="1" applyFont="1" applyFill="1" applyBorder="1" applyAlignment="1" applyProtection="0">
      <alignment vertical="top" wrapText="1"/>
    </xf>
    <xf numFmtId="38" fontId="20" fillId="4" borderId="37" applyNumberFormat="1" applyFont="1" applyFill="1" applyBorder="1" applyAlignment="1" applyProtection="0">
      <alignment vertical="top" wrapText="1"/>
    </xf>
    <xf numFmtId="38" fontId="17" fillId="4" borderId="23" applyNumberFormat="1" applyFont="1" applyFill="1" applyBorder="1" applyAlignment="1" applyProtection="0">
      <alignment vertical="top" wrapText="1"/>
    </xf>
    <xf numFmtId="38" fontId="20" fillId="4" borderId="23" applyNumberFormat="1" applyFont="1" applyFill="1" applyBorder="1" applyAlignment="1" applyProtection="0">
      <alignment vertical="top" wrapText="1"/>
    </xf>
    <xf numFmtId="38" fontId="20" fillId="4" borderId="24" applyNumberFormat="1" applyFont="1" applyFill="1" applyBorder="1" applyAlignment="1" applyProtection="0">
      <alignment vertical="top" wrapText="1"/>
    </xf>
    <xf numFmtId="38" fontId="17" borderId="23" applyNumberFormat="1" applyFont="1" applyFill="0" applyBorder="1" applyAlignment="1" applyProtection="0">
      <alignment vertical="top" wrapText="1"/>
    </xf>
    <xf numFmtId="38" fontId="20" borderId="23" applyNumberFormat="1" applyFont="1" applyFill="0" applyBorder="1" applyAlignment="1" applyProtection="0">
      <alignment vertical="top" wrapText="1"/>
    </xf>
    <xf numFmtId="38" fontId="20" borderId="24" applyNumberFormat="1" applyFont="1" applyFill="0" applyBorder="1" applyAlignment="1" applyProtection="0">
      <alignment vertical="top" wrapText="1"/>
    </xf>
    <xf numFmtId="38" fontId="17" borderId="27" applyNumberFormat="1" applyFont="1" applyFill="0" applyBorder="1" applyAlignment="1" applyProtection="0">
      <alignment vertical="top" wrapText="1"/>
    </xf>
    <xf numFmtId="38" fontId="20" borderId="27" applyNumberFormat="1" applyFont="1" applyFill="0" applyBorder="1" applyAlignment="1" applyProtection="0">
      <alignment vertical="top" wrapText="1"/>
    </xf>
    <xf numFmtId="38" fontId="20" borderId="28" applyNumberFormat="1" applyFont="1" applyFill="0" applyBorder="1" applyAlignment="1" applyProtection="0">
      <alignment vertical="top" wrapText="1"/>
    </xf>
    <xf numFmtId="0" fontId="18" borderId="12" applyNumberFormat="0" applyFont="1" applyFill="0" applyBorder="1" applyAlignment="1" applyProtection="0">
      <alignment horizontal="center" vertical="top" wrapText="1"/>
    </xf>
    <xf numFmtId="60" fontId="14" borderId="12" applyNumberFormat="1" applyFont="1" applyFill="0" applyBorder="1" applyAlignment="1" applyProtection="0">
      <alignment vertical="top" wrapText="1"/>
    </xf>
    <xf numFmtId="3" fontId="18" borderId="12" applyNumberFormat="1" applyFont="1" applyFill="0" applyBorder="1" applyAlignment="1" applyProtection="0">
      <alignment vertical="top" wrapText="1"/>
    </xf>
    <xf numFmtId="3" fontId="19" borderId="12" applyNumberFormat="1" applyFont="1" applyFill="0" applyBorder="1" applyAlignment="1" applyProtection="0">
      <alignment vertical="top" wrapText="1"/>
    </xf>
    <xf numFmtId="3" fontId="17" borderId="29" applyNumberFormat="1" applyFont="1" applyFill="0" applyBorder="1" applyAlignment="1" applyProtection="0">
      <alignment vertical="top" wrapText="1"/>
    </xf>
    <xf numFmtId="3" fontId="20" borderId="29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6" borderId="12" applyNumberFormat="0" applyFont="1" applyFill="0" applyBorder="1" applyAlignment="1" applyProtection="0">
      <alignment horizontal="center" vertical="top" wrapText="1"/>
    </xf>
    <xf numFmtId="49" fontId="6" borderId="30" applyNumberFormat="1" applyFont="1" applyFill="0" applyBorder="1" applyAlignment="1" applyProtection="0">
      <alignment horizontal="center" vertical="top" wrapText="1"/>
    </xf>
    <xf numFmtId="49" fontId="6" borderId="30" applyNumberFormat="1" applyFont="1" applyFill="0" applyBorder="1" applyAlignment="1" applyProtection="0">
      <alignment vertical="top" wrapText="1"/>
    </xf>
    <xf numFmtId="0" fontId="6" borderId="21" applyNumberFormat="1" applyFont="1" applyFill="0" applyBorder="1" applyAlignment="1" applyProtection="0">
      <alignment horizontal="center" vertical="top" wrapText="1"/>
    </xf>
    <xf numFmtId="38" fontId="6" borderId="36" applyNumberFormat="1" applyFont="1" applyFill="0" applyBorder="1" applyAlignment="1" applyProtection="0">
      <alignment vertical="top" wrapText="1"/>
    </xf>
    <xf numFmtId="3" fontId="5" borderId="37" applyNumberFormat="1" applyFont="1" applyFill="0" applyBorder="1" applyAlignment="1" applyProtection="0">
      <alignment vertical="top" wrapText="1"/>
    </xf>
    <xf numFmtId="38" fontId="6" borderId="19" applyNumberFormat="1" applyFont="1" applyFill="0" applyBorder="1" applyAlignment="1" applyProtection="0">
      <alignment vertical="top" wrapText="1"/>
    </xf>
    <xf numFmtId="38" fontId="8" borderId="20" applyNumberFormat="1" applyFont="1" applyFill="0" applyBorder="1" applyAlignment="1" applyProtection="0">
      <alignment vertical="top" wrapText="1"/>
    </xf>
    <xf numFmtId="38" fontId="6" fillId="4" borderId="36" applyNumberFormat="1" applyFont="1" applyFill="1" applyBorder="1" applyAlignment="1" applyProtection="0">
      <alignment vertical="top" wrapText="1"/>
    </xf>
    <xf numFmtId="3" fontId="5" fillId="4" borderId="37" applyNumberFormat="1" applyFont="1" applyFill="1" applyBorder="1" applyAlignment="1" applyProtection="0">
      <alignment vertical="top" wrapText="1"/>
    </xf>
    <xf numFmtId="38" fontId="8" fillId="4" borderId="24" applyNumberFormat="1" applyFont="1" applyFill="1" applyBorder="1" applyAlignment="1" applyProtection="0">
      <alignment vertical="top" wrapText="1"/>
    </xf>
    <xf numFmtId="38" fontId="8" borderId="24" applyNumberFormat="1" applyFont="1" applyFill="0" applyBorder="1" applyAlignment="1" applyProtection="0">
      <alignment vertical="top" wrapText="1"/>
    </xf>
    <xf numFmtId="38" fontId="6" borderId="27" applyNumberFormat="1" applyFont="1" applyFill="0" applyBorder="1" applyAlignment="1" applyProtection="0">
      <alignment vertical="top" wrapText="1"/>
    </xf>
    <xf numFmtId="38" fontId="8" borderId="27" applyNumberFormat="1" applyFont="1" applyFill="0" applyBorder="1" applyAlignment="1" applyProtection="0">
      <alignment vertical="top" wrapText="1"/>
    </xf>
    <xf numFmtId="38" fontId="8" borderId="28" applyNumberFormat="1" applyFont="1" applyFill="0" applyBorder="1" applyAlignment="1" applyProtection="0">
      <alignment vertical="top" wrapText="1"/>
    </xf>
    <xf numFmtId="3" fontId="5" borderId="12" applyNumberFormat="1" applyFont="1" applyFill="0" applyBorder="1" applyAlignment="1" applyProtection="0">
      <alignment vertical="top" wrapText="1"/>
    </xf>
    <xf numFmtId="60" fontId="6" borderId="12" applyNumberFormat="1" applyFont="1" applyFill="0" applyBorder="1" applyAlignment="1" applyProtection="0">
      <alignment vertical="top" wrapText="1"/>
    </xf>
    <xf numFmtId="0" fontId="5" borderId="12" applyNumberFormat="0" applyFont="1" applyFill="0" applyBorder="1" applyAlignment="1" applyProtection="0">
      <alignment vertical="top" wrapText="1"/>
    </xf>
    <xf numFmtId="0" fontId="7" borderId="29" applyNumberFormat="0" applyFont="1" applyFill="0" applyBorder="1" applyAlignment="1" applyProtection="0">
      <alignment vertical="top" wrapText="1"/>
    </xf>
    <xf numFmtId="3" fontId="7" borderId="29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38" fontId="6" borderId="37" applyNumberFormat="1" applyFont="1" applyFill="0" applyBorder="1" applyAlignment="1" applyProtection="0">
      <alignment vertical="top" wrapText="1"/>
    </xf>
    <xf numFmtId="38" fontId="6" fillId="4" borderId="37" applyNumberFormat="1" applyFont="1" applyFill="1" applyBorder="1" applyAlignment="1" applyProtection="0">
      <alignment vertical="top" wrapText="1"/>
    </xf>
    <xf numFmtId="38" fontId="8" fillId="4" borderId="49" applyNumberFormat="1" applyFont="1" applyFill="1" applyBorder="1" applyAlignment="1" applyProtection="0">
      <alignment vertical="top" wrapText="1"/>
    </xf>
    <xf numFmtId="38" fontId="8" borderId="40" applyNumberFormat="1" applyFont="1" applyFill="0" applyBorder="1" applyAlignment="1" applyProtection="0">
      <alignment vertical="top" wrapText="1"/>
    </xf>
    <xf numFmtId="60" fontId="21" borderId="12" applyNumberFormat="1" applyFont="1" applyFill="0" applyBorder="1" applyAlignment="1" applyProtection="0">
      <alignment vertical="top" wrapText="1"/>
    </xf>
    <xf numFmtId="0" fontId="7" borderId="1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2" borderId="12" applyNumberFormat="1" applyFont="1" applyFill="0" applyBorder="1" applyAlignment="1" applyProtection="0">
      <alignment vertical="top" wrapText="1"/>
    </xf>
    <xf numFmtId="49" fontId="12" borderId="30" applyNumberFormat="1" applyFont="1" applyFill="0" applyBorder="1" applyAlignment="1" applyProtection="0">
      <alignment vertical="top" wrapText="1"/>
    </xf>
    <xf numFmtId="0" fontId="6" borderId="21" applyNumberFormat="1" applyFont="1" applyFill="0" applyBorder="1" applyAlignment="1" applyProtection="0">
      <alignment vertical="top" wrapText="1"/>
    </xf>
    <xf numFmtId="3" fontId="12" borderId="36" applyNumberFormat="1" applyFont="1" applyFill="0" applyBorder="1" applyAlignment="1" applyProtection="0">
      <alignment vertical="top" wrapText="1"/>
    </xf>
    <xf numFmtId="3" fontId="12" borderId="37" applyNumberFormat="1" applyFont="1" applyFill="0" applyBorder="1" applyAlignment="1" applyProtection="0">
      <alignment vertical="top" wrapText="1"/>
    </xf>
    <xf numFmtId="3" fontId="12" borderId="19" applyNumberFormat="1" applyFont="1" applyFill="0" applyBorder="1" applyAlignment="1" applyProtection="0">
      <alignment vertical="top" wrapText="1"/>
    </xf>
    <xf numFmtId="3" fontId="12" borderId="20" applyNumberFormat="1" applyFont="1" applyFill="0" applyBorder="1" applyAlignment="1" applyProtection="0">
      <alignment vertical="top" wrapText="1"/>
    </xf>
    <xf numFmtId="3" fontId="12" fillId="4" borderId="36" applyNumberFormat="1" applyFont="1" applyFill="1" applyBorder="1" applyAlignment="1" applyProtection="0">
      <alignment vertical="top" wrapText="1"/>
    </xf>
    <xf numFmtId="3" fontId="12" fillId="4" borderId="37" applyNumberFormat="1" applyFont="1" applyFill="1" applyBorder="1" applyAlignment="1" applyProtection="0">
      <alignment vertical="top" wrapText="1"/>
    </xf>
    <xf numFmtId="3" fontId="12" fillId="4" borderId="23" applyNumberFormat="1" applyFont="1" applyFill="1" applyBorder="1" applyAlignment="1" applyProtection="0">
      <alignment vertical="top" wrapText="1"/>
    </xf>
    <xf numFmtId="3" fontId="12" fillId="4" borderId="24" applyNumberFormat="1" applyFont="1" applyFill="1" applyBorder="1" applyAlignment="1" applyProtection="0">
      <alignment vertical="top" wrapText="1"/>
    </xf>
    <xf numFmtId="3" fontId="12" borderId="23" applyNumberFormat="1" applyFont="1" applyFill="0" applyBorder="1" applyAlignment="1" applyProtection="0">
      <alignment vertical="top" wrapText="1"/>
    </xf>
    <xf numFmtId="3" fontId="12" borderId="24" applyNumberFormat="1" applyFont="1" applyFill="0" applyBorder="1" applyAlignment="1" applyProtection="0">
      <alignment vertical="top" wrapText="1"/>
    </xf>
    <xf numFmtId="3" fontId="12" borderId="40" applyNumberFormat="1" applyFont="1" applyFill="0" applyBorder="1" applyAlignment="1" applyProtection="0">
      <alignment vertical="top" wrapText="1"/>
    </xf>
    <xf numFmtId="3" fontId="8" borderId="40" applyNumberFormat="1" applyFont="1" applyFill="0" applyBorder="1" applyAlignment="1" applyProtection="0">
      <alignment vertical="top" wrapText="1"/>
    </xf>
    <xf numFmtId="3" fontId="12" borderId="4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5">
    <dxf>
      <font>
        <color rgb="ffe32400"/>
      </font>
    </dxf>
    <dxf>
      <font>
        <color rgb="ff000000"/>
      </font>
      <fill>
        <patternFill patternType="solid">
          <fgColor indexed="16"/>
          <bgColor indexed="17"/>
        </patternFill>
      </fill>
    </dxf>
    <dxf>
      <font>
        <color rgb="ff000000"/>
      </font>
      <fill>
        <patternFill patternType="solid">
          <fgColor indexed="16"/>
          <bgColor indexed="17"/>
        </patternFill>
      </fill>
    </dxf>
    <dxf>
      <font>
        <color rgb="ff000000"/>
      </font>
      <fill>
        <patternFill patternType="solid">
          <fgColor indexed="16"/>
          <bgColor indexed="17"/>
        </patternFill>
      </fill>
    </dxf>
    <dxf>
      <font>
        <color rgb="ff000000"/>
      </font>
      <fill>
        <patternFill patternType="solid">
          <fgColor indexed="16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32400"/>
      <rgbColor rgb="ff7f7f7f"/>
      <rgbColor rgb="ffeeeeee"/>
      <rgbColor rgb="00000000"/>
      <rgbColor rgb="e5ff9781"/>
      <rgbColor rgb="fffff2d5"/>
      <rgbColor rgb="ffcde8b5"/>
      <rgbColor rgb="ff406091"/>
      <rgbColor rgb="fffefffe"/>
      <rgbColor rgb="ff489bc9"/>
      <rgbColor rgb="ff4899c9"/>
      <rgbColor rgb="ffff2c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/Relationships>

</file>

<file path=xl/theme/_rels/theme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50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4922" style="1" customWidth="1"/>
    <col min="2" max="2" width="12.4375" style="1" customWidth="1"/>
    <col min="3" max="3" width="12.9219" style="1" customWidth="1"/>
    <col min="4" max="4" width="16.6719" style="1" customWidth="1"/>
    <col min="5" max="7" width="15.75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s="6">
        <v>2400</v>
      </c>
      <c r="D3" s="6">
        <v>64000</v>
      </c>
      <c r="E3" s="6">
        <v>153600000</v>
      </c>
      <c r="F3" s="7"/>
      <c r="G3" s="7"/>
    </row>
    <row r="4" ht="20.05" customHeight="1">
      <c r="A4" t="s" s="8">
        <v>10</v>
      </c>
      <c r="B4" t="s" s="9">
        <v>11</v>
      </c>
      <c r="C4" s="10">
        <v>10.8</v>
      </c>
      <c r="D4" s="11">
        <v>180000000</v>
      </c>
      <c r="E4" s="11">
        <v>1944000000</v>
      </c>
      <c r="F4" s="12"/>
      <c r="G4" s="12"/>
    </row>
    <row r="5" ht="20.05" customHeight="1">
      <c r="A5" t="s" s="8">
        <v>12</v>
      </c>
      <c r="B5" t="s" s="9">
        <v>9</v>
      </c>
      <c r="C5" s="11">
        <v>3900</v>
      </c>
      <c r="D5" s="11">
        <v>83700</v>
      </c>
      <c r="E5" s="11">
        <v>326430000</v>
      </c>
      <c r="F5" s="12"/>
      <c r="G5" s="12"/>
    </row>
    <row r="6" ht="20.05" customHeight="1">
      <c r="A6" t="s" s="8">
        <v>13</v>
      </c>
      <c r="B6" t="s" s="9">
        <v>9</v>
      </c>
      <c r="C6" s="11">
        <v>2400</v>
      </c>
      <c r="D6" s="11">
        <v>115000</v>
      </c>
      <c r="E6" s="11">
        <v>276000000</v>
      </c>
      <c r="F6" s="12"/>
      <c r="G6" s="12"/>
    </row>
    <row r="7" ht="20.05" customHeight="1">
      <c r="A7" t="s" s="8">
        <v>14</v>
      </c>
      <c r="B7" t="s" s="9">
        <v>9</v>
      </c>
      <c r="C7" s="11">
        <v>10000</v>
      </c>
      <c r="D7" s="11">
        <v>26300</v>
      </c>
      <c r="E7" s="11">
        <v>263000000</v>
      </c>
      <c r="F7" s="12"/>
      <c r="G7" s="12"/>
    </row>
    <row r="8" ht="20.05" customHeight="1">
      <c r="A8" t="s" s="8">
        <v>15</v>
      </c>
      <c r="B8" t="s" s="9">
        <v>9</v>
      </c>
      <c r="C8" s="11">
        <v>3130</v>
      </c>
      <c r="D8" s="11">
        <v>78600</v>
      </c>
      <c r="E8" s="11">
        <v>246018000</v>
      </c>
      <c r="F8" s="12"/>
      <c r="G8" s="12"/>
    </row>
    <row r="9" ht="20.05" customHeight="1">
      <c r="A9" t="s" s="8">
        <v>16</v>
      </c>
      <c r="B9" t="s" s="9">
        <v>9</v>
      </c>
      <c r="C9" s="11">
        <v>10200</v>
      </c>
      <c r="D9" s="11">
        <v>23750</v>
      </c>
      <c r="E9" s="11">
        <v>242250000</v>
      </c>
      <c r="F9" s="12"/>
      <c r="G9" s="12"/>
    </row>
    <row r="10" ht="20.05" customHeight="1">
      <c r="A10" t="s" s="8">
        <v>17</v>
      </c>
      <c r="B10" t="s" s="9">
        <v>9</v>
      </c>
      <c r="C10" s="11">
        <v>3400</v>
      </c>
      <c r="D10" s="11">
        <v>60500</v>
      </c>
      <c r="E10" s="11">
        <v>205700000</v>
      </c>
      <c r="F10" s="12"/>
      <c r="G10" s="12"/>
    </row>
    <row r="11" ht="20.05" customHeight="1">
      <c r="A11" t="s" s="8">
        <v>18</v>
      </c>
      <c r="B11" t="s" s="9">
        <v>9</v>
      </c>
      <c r="C11" s="11">
        <v>4300</v>
      </c>
      <c r="D11" s="11">
        <v>35000</v>
      </c>
      <c r="E11" s="11">
        <v>150500000</v>
      </c>
      <c r="F11" s="12"/>
      <c r="G11" s="12"/>
    </row>
    <row r="12" ht="20.05" customHeight="1">
      <c r="A12" t="s" s="8">
        <v>19</v>
      </c>
      <c r="B12" t="s" s="9">
        <v>9</v>
      </c>
      <c r="C12" s="11">
        <v>5400</v>
      </c>
      <c r="D12" s="11">
        <v>26800</v>
      </c>
      <c r="E12" s="11">
        <v>144720000</v>
      </c>
      <c r="F12" s="12"/>
      <c r="G12" s="12"/>
    </row>
    <row r="13" ht="20.05" customHeight="1">
      <c r="A13" t="s" s="8">
        <v>20</v>
      </c>
      <c r="B13" t="s" s="9">
        <v>9</v>
      </c>
      <c r="C13" s="11">
        <v>1500</v>
      </c>
      <c r="D13" s="11">
        <v>64000</v>
      </c>
      <c r="E13" s="11">
        <v>96000000</v>
      </c>
      <c r="F13" s="12"/>
      <c r="G13" s="12"/>
    </row>
    <row r="14" ht="20.05" customHeight="1">
      <c r="A14" t="s" s="8">
        <v>21</v>
      </c>
      <c r="B14" t="s" s="9">
        <v>9</v>
      </c>
      <c r="C14" s="11">
        <v>1200</v>
      </c>
      <c r="D14" s="11">
        <v>82500</v>
      </c>
      <c r="E14" s="11">
        <v>99000000</v>
      </c>
      <c r="F14" s="12"/>
      <c r="G14" s="12"/>
    </row>
    <row r="15" ht="20.05" customHeight="1">
      <c r="A15" t="s" s="8">
        <v>22</v>
      </c>
      <c r="B15" t="s" s="9">
        <v>9</v>
      </c>
      <c r="C15" s="11">
        <v>3000</v>
      </c>
      <c r="D15" s="11">
        <v>30300</v>
      </c>
      <c r="E15" s="11">
        <v>90900000</v>
      </c>
      <c r="F15" s="12"/>
      <c r="G15" s="12"/>
    </row>
    <row r="16" ht="20.05" customHeight="1">
      <c r="A16" t="s" s="8">
        <v>23</v>
      </c>
      <c r="B16" t="s" s="9">
        <v>9</v>
      </c>
      <c r="C16" s="10">
        <v>600</v>
      </c>
      <c r="D16" s="11">
        <v>136700</v>
      </c>
      <c r="E16" s="11">
        <v>82020000</v>
      </c>
      <c r="F16" s="12"/>
      <c r="G16" s="12"/>
    </row>
    <row r="17" ht="20.05" customHeight="1">
      <c r="A17" t="s" s="8">
        <v>24</v>
      </c>
      <c r="B17" t="s" s="9">
        <v>9</v>
      </c>
      <c r="C17" s="11">
        <v>1700</v>
      </c>
      <c r="D17" s="11">
        <v>28000</v>
      </c>
      <c r="E17" s="11">
        <v>47600000</v>
      </c>
      <c r="F17" s="12"/>
      <c r="G17" s="12"/>
    </row>
    <row r="18" ht="20.05" customHeight="1">
      <c r="A18" t="s" s="8">
        <v>25</v>
      </c>
      <c r="B18" t="s" s="9">
        <v>26</v>
      </c>
      <c r="C18" s="10">
        <v>0.091</v>
      </c>
      <c r="D18" s="11">
        <v>1947466903</v>
      </c>
      <c r="E18" s="11">
        <v>177219488</v>
      </c>
      <c r="F18" s="12"/>
      <c r="G18" s="12"/>
    </row>
    <row r="19" ht="20.05" customHeight="1">
      <c r="A19" t="s" s="8">
        <v>27</v>
      </c>
      <c r="B19" t="s" s="9">
        <v>26</v>
      </c>
      <c r="C19" s="10">
        <v>0.846</v>
      </c>
      <c r="D19" s="11">
        <v>61123669</v>
      </c>
      <c r="E19" s="11">
        <v>51710624</v>
      </c>
      <c r="F19" s="12"/>
      <c r="G19" s="12"/>
    </row>
    <row r="20" ht="20.05" customHeight="1">
      <c r="A20" t="s" s="8">
        <v>28</v>
      </c>
      <c r="B20" t="s" s="9">
        <v>26</v>
      </c>
      <c r="C20" s="10">
        <v>0.896</v>
      </c>
      <c r="D20" s="11">
        <v>130767714</v>
      </c>
      <c r="E20" s="11">
        <v>117167872</v>
      </c>
      <c r="F20" s="12"/>
      <c r="G20" s="12"/>
    </row>
    <row r="21" ht="20.05" customHeight="1">
      <c r="A21" t="s" s="8">
        <v>29</v>
      </c>
      <c r="B21" t="s" s="9">
        <v>26</v>
      </c>
      <c r="C21" s="10">
        <v>0.464</v>
      </c>
      <c r="D21" s="11">
        <v>17723985</v>
      </c>
      <c r="E21" s="11">
        <v>8223929</v>
      </c>
      <c r="F21" s="12"/>
      <c r="G21" s="12"/>
    </row>
    <row r="22" ht="20.05" customHeight="1">
      <c r="A22" t="s" s="8">
        <v>30</v>
      </c>
      <c r="B22" t="s" s="9">
        <v>26</v>
      </c>
      <c r="C22" s="10">
        <v>4.302</v>
      </c>
      <c r="D22" s="11">
        <v>2477722</v>
      </c>
      <c r="E22" s="11">
        <v>10659160</v>
      </c>
      <c r="F22" s="12"/>
      <c r="G22" s="12"/>
    </row>
    <row r="23" ht="20.05" customHeight="1">
      <c r="A23" t="s" s="8">
        <v>31</v>
      </c>
      <c r="B23" t="s" s="9">
        <v>26</v>
      </c>
      <c r="C23" s="10">
        <v>242.318</v>
      </c>
      <c r="D23" s="11">
        <v>39883</v>
      </c>
      <c r="E23" s="11">
        <v>9664369</v>
      </c>
      <c r="F23" s="12"/>
      <c r="G23" s="12"/>
    </row>
    <row r="24" ht="20.05" customHeight="1">
      <c r="A24" t="s" s="8">
        <v>32</v>
      </c>
      <c r="B24" t="s" s="9">
        <v>26</v>
      </c>
      <c r="C24" s="10">
        <v>29.074</v>
      </c>
      <c r="D24" s="11">
        <v>269189</v>
      </c>
      <c r="E24" s="11">
        <v>7826401</v>
      </c>
      <c r="F24" s="12"/>
      <c r="G24" s="12"/>
    </row>
    <row r="25" ht="20.05" customHeight="1">
      <c r="A25" t="s" s="8">
        <v>33</v>
      </c>
      <c r="B25" t="s" s="9">
        <v>26</v>
      </c>
      <c r="C25" s="10">
        <v>651.452</v>
      </c>
      <c r="D25" s="13">
        <v>7631.11</v>
      </c>
      <c r="E25" s="11">
        <v>4971302</v>
      </c>
      <c r="F25" s="12"/>
      <c r="G25" s="12"/>
    </row>
    <row r="26" ht="20.05" customHeight="1">
      <c r="A26" t="s" s="8">
        <v>34</v>
      </c>
      <c r="B26" t="s" s="9">
        <v>26</v>
      </c>
      <c r="C26" s="10">
        <v>64.33799999999999</v>
      </c>
      <c r="D26" s="11">
        <v>43000</v>
      </c>
      <c r="E26" s="11">
        <v>2766534</v>
      </c>
      <c r="F26" s="12"/>
      <c r="G26" s="12"/>
    </row>
    <row r="27" ht="20.05" customHeight="1">
      <c r="A27" t="s" s="8">
        <v>35</v>
      </c>
      <c r="B27" t="s" s="9">
        <v>26</v>
      </c>
      <c r="C27" s="10">
        <v>16.717</v>
      </c>
      <c r="D27" s="11">
        <v>257953</v>
      </c>
      <c r="E27" s="11">
        <v>4312200</v>
      </c>
      <c r="F27" s="12"/>
      <c r="G27" s="12"/>
    </row>
    <row r="28" ht="20.05" customHeight="1">
      <c r="A28" t="s" s="8">
        <v>36</v>
      </c>
      <c r="B28" t="s" s="9">
        <v>37</v>
      </c>
      <c r="C28" s="10">
        <v>1</v>
      </c>
      <c r="D28" s="11">
        <v>6214043000</v>
      </c>
      <c r="E28" s="11">
        <v>6214043000</v>
      </c>
      <c r="F28" s="12"/>
      <c r="G28" s="12"/>
    </row>
    <row r="29" ht="20.05" customHeight="1">
      <c r="A29" t="s" s="8">
        <v>38</v>
      </c>
      <c r="B29" t="s" s="9">
        <v>39</v>
      </c>
      <c r="C29" s="10">
        <v>1</v>
      </c>
      <c r="D29" s="11">
        <v>1058323000</v>
      </c>
      <c r="E29" s="11">
        <v>1058323000</v>
      </c>
      <c r="F29" s="12"/>
      <c r="G29" s="12"/>
    </row>
    <row r="30" ht="20.05" customHeight="1">
      <c r="A30" t="s" s="8">
        <v>40</v>
      </c>
      <c r="B30" t="s" s="9">
        <v>41</v>
      </c>
      <c r="C30" s="10">
        <v>1</v>
      </c>
      <c r="D30" s="11">
        <v>16068000000</v>
      </c>
      <c r="E30" s="11">
        <v>16068000000</v>
      </c>
      <c r="F30" s="12"/>
      <c r="G30" s="12"/>
    </row>
    <row r="31" ht="20.05" customHeight="1">
      <c r="A31" t="s" s="14">
        <v>42</v>
      </c>
      <c r="B31" t="s" s="9">
        <v>43</v>
      </c>
      <c r="C31" s="10">
        <v>1</v>
      </c>
      <c r="D31" s="11">
        <v>1153190000</v>
      </c>
      <c r="E31" s="11">
        <v>1153190000</v>
      </c>
      <c r="F31" s="15"/>
      <c r="G31" s="12"/>
    </row>
    <row r="32" ht="20.05" customHeight="1">
      <c r="A32" t="s" s="16">
        <v>44</v>
      </c>
      <c r="B32" s="17"/>
      <c r="C32" s="12"/>
      <c r="D32" s="12"/>
      <c r="E32" s="18"/>
      <c r="F32" s="19">
        <v>0.065</v>
      </c>
      <c r="G32" s="20"/>
    </row>
    <row r="33" ht="20.05" customHeight="1">
      <c r="A33" t="s" s="16">
        <v>45</v>
      </c>
      <c r="B33" s="17"/>
      <c r="C33" s="12"/>
      <c r="D33" s="12"/>
      <c r="E33" s="18"/>
      <c r="F33" s="19">
        <v>0.025</v>
      </c>
      <c r="G33" s="20"/>
    </row>
    <row r="34" ht="20.05" customHeight="1">
      <c r="A34" t="s" s="16">
        <v>46</v>
      </c>
      <c r="B34" s="17"/>
      <c r="C34" s="12"/>
      <c r="D34" s="12"/>
      <c r="E34" s="18"/>
      <c r="F34" s="19">
        <v>0.08</v>
      </c>
      <c r="G34" s="20"/>
    </row>
    <row r="35" ht="20.05" customHeight="1">
      <c r="A35" t="s" s="16">
        <v>47</v>
      </c>
      <c r="B35" s="17"/>
      <c r="C35" s="12"/>
      <c r="D35" s="12"/>
      <c r="E35" s="18"/>
      <c r="F35" s="19">
        <v>0.12</v>
      </c>
      <c r="G35" s="20"/>
    </row>
    <row r="36" ht="20.05" customHeight="1">
      <c r="A36" t="s" s="16">
        <v>47</v>
      </c>
      <c r="B36" s="17"/>
      <c r="C36" s="12"/>
      <c r="D36" s="12"/>
      <c r="E36" s="18"/>
      <c r="F36" s="19">
        <v>0.12</v>
      </c>
      <c r="G36" s="20"/>
    </row>
    <row r="37" ht="20.05" customHeight="1">
      <c r="A37" t="s" s="16">
        <v>47</v>
      </c>
      <c r="B37" s="17"/>
      <c r="C37" s="12"/>
      <c r="D37" s="12"/>
      <c r="E37" s="18"/>
      <c r="F37" s="19">
        <v>0.1</v>
      </c>
      <c r="G37" s="20"/>
    </row>
    <row r="38" ht="20.05" customHeight="1">
      <c r="A38" t="s" s="16">
        <v>48</v>
      </c>
      <c r="B38" s="17"/>
      <c r="C38" s="12"/>
      <c r="D38" s="12"/>
      <c r="E38" s="18"/>
      <c r="F38" s="19" cm="1">
        <f t="array" ref="F38">F32+1.5%</f>
        <v>0.08</v>
      </c>
      <c r="G38" s="20"/>
    </row>
    <row r="39" ht="20.05" customHeight="1">
      <c r="A39" t="s" s="16">
        <v>49</v>
      </c>
      <c r="B39" s="17"/>
      <c r="C39" s="12"/>
      <c r="D39" s="12"/>
      <c r="E39" s="18"/>
      <c r="F39" s="19" cm="1">
        <f t="array" ref="F39">F32+4%</f>
        <v>0.105</v>
      </c>
      <c r="G39" s="20"/>
    </row>
    <row r="40" ht="20.05" customHeight="1">
      <c r="A40" t="s" s="16">
        <v>50</v>
      </c>
      <c r="B40" s="17"/>
      <c r="C40" s="12"/>
      <c r="D40" s="12"/>
      <c r="E40" s="18"/>
      <c r="F40" s="19">
        <v>0.15</v>
      </c>
      <c r="G40" s="20"/>
    </row>
    <row r="41" ht="20.05" customHeight="1">
      <c r="A41" t="s" s="16">
        <v>51</v>
      </c>
      <c r="B41" s="17"/>
      <c r="C41" s="12"/>
      <c r="D41" s="12"/>
      <c r="E41" s="18"/>
      <c r="F41" s="21">
        <v>0.09</v>
      </c>
      <c r="G41" s="20"/>
    </row>
    <row r="42" ht="20.05" customHeight="1">
      <c r="A42" t="s" s="16">
        <v>52</v>
      </c>
      <c r="B42" s="17"/>
      <c r="C42" s="12"/>
      <c r="D42" s="12"/>
      <c r="E42" s="18"/>
      <c r="F42" s="19">
        <v>0.158</v>
      </c>
      <c r="G42" s="20"/>
    </row>
    <row r="43" ht="20.05" customHeight="1">
      <c r="A43" t="s" s="16">
        <v>38</v>
      </c>
      <c r="B43" s="17"/>
      <c r="C43" s="12"/>
      <c r="D43" s="12"/>
      <c r="E43" s="18"/>
      <c r="F43" s="19">
        <v>0.12</v>
      </c>
      <c r="G43" s="20"/>
    </row>
    <row r="44" ht="20.05" customHeight="1">
      <c r="A44" t="s" s="16">
        <v>53</v>
      </c>
      <c r="B44" s="17"/>
      <c r="C44" s="12"/>
      <c r="D44" s="12"/>
      <c r="E44" s="18"/>
      <c r="F44" s="19">
        <v>0.15</v>
      </c>
      <c r="G44" s="20"/>
    </row>
    <row r="45" ht="20.05" customHeight="1">
      <c r="A45" t="s" s="16">
        <v>54</v>
      </c>
      <c r="B45" s="17"/>
      <c r="C45" s="12"/>
      <c r="D45" s="12"/>
      <c r="E45" s="18"/>
      <c r="F45" s="19" cm="1">
        <f t="array" ref="F45">F42</f>
        <v>0.158</v>
      </c>
      <c r="G45" s="20"/>
    </row>
    <row r="46" ht="22.35" customHeight="1">
      <c r="A46" t="s" s="16">
        <v>55</v>
      </c>
      <c r="B46" s="17"/>
      <c r="C46" s="12"/>
      <c r="D46" s="12"/>
      <c r="E46" s="18"/>
      <c r="F46" s="22" cm="1">
        <f t="array" ref="F46">D4/1000</f>
        <v>180000</v>
      </c>
      <c r="G46" s="20"/>
    </row>
    <row r="47" ht="22.35" customHeight="1">
      <c r="A47" t="s" s="16">
        <v>56</v>
      </c>
      <c r="B47" s="17"/>
      <c r="C47" s="12"/>
      <c r="D47" s="12"/>
      <c r="E47" s="18"/>
      <c r="F47" s="22">
        <v>26700</v>
      </c>
      <c r="G47" s="20"/>
    </row>
    <row r="48" ht="20.05" customHeight="1">
      <c r="A48" t="s" s="16">
        <v>57</v>
      </c>
      <c r="B48" s="17"/>
      <c r="C48" s="12"/>
      <c r="D48" s="12"/>
      <c r="E48" s="12"/>
      <c r="F48" s="23"/>
      <c r="G48" s="24">
        <v>0.2</v>
      </c>
    </row>
    <row r="49" ht="20.05" customHeight="1">
      <c r="A49" t="s" s="16">
        <v>58</v>
      </c>
      <c r="B49" s="17"/>
      <c r="C49" s="12"/>
      <c r="D49" s="12"/>
      <c r="E49" s="12"/>
      <c r="F49" s="12"/>
      <c r="G49" s="24">
        <v>0.1</v>
      </c>
    </row>
    <row r="50" ht="20.05" customHeight="1">
      <c r="A50" t="s" s="16">
        <v>59</v>
      </c>
      <c r="B50" s="17"/>
      <c r="C50" s="12"/>
      <c r="D50" s="12"/>
      <c r="E50" s="12"/>
      <c r="F50" s="12"/>
      <c r="G50" s="24">
        <v>0.1</v>
      </c>
    </row>
  </sheetData>
  <mergeCells count="1">
    <mergeCell ref="A1:G1"/>
  </mergeCells>
  <conditionalFormatting sqref="F46:F47">
    <cfRule type="cellIs" dxfId="0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S24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8" customHeight="1" outlineLevelRow="0" outlineLevelCol="0"/>
  <cols>
    <col min="1" max="1" width="5.85156" style="25" customWidth="1"/>
    <col min="2" max="2" width="17.5" style="25" customWidth="1"/>
    <col min="3" max="3" width="17.6719" style="25" customWidth="1"/>
    <col min="4" max="4" width="16.5" style="25" customWidth="1"/>
    <col min="5" max="6" width="13.6719" style="25" customWidth="1"/>
    <col min="7" max="7" width="14.6719" style="25" customWidth="1"/>
    <col min="8" max="8" width="13.5" style="25" customWidth="1"/>
    <col min="9" max="10" width="14.5" style="25" customWidth="1"/>
    <col min="11" max="11" width="12.6719" style="25" customWidth="1"/>
    <col min="12" max="13" width="14.6719" style="25" customWidth="1"/>
    <col min="14" max="15" width="13.6719" style="25" customWidth="1"/>
    <col min="16" max="16" width="12.6719" style="25" customWidth="1"/>
    <col min="17" max="17" width="12.625" style="25" customWidth="1"/>
    <col min="18" max="18" width="14.3516" style="25" customWidth="1"/>
    <col min="19" max="19" width="14.6719" style="25" customWidth="1"/>
    <col min="20" max="16384" width="16.3516" style="25" customWidth="1"/>
  </cols>
  <sheetData>
    <row r="1" ht="18.5" customHeight="1"/>
    <row r="2" ht="22.5" customHeight="1">
      <c r="A2" s="26"/>
      <c r="B2" t="s" s="27">
        <v>60</v>
      </c>
      <c r="C2" t="s" s="27">
        <v>61</v>
      </c>
      <c r="D2" t="s" s="27">
        <v>62</v>
      </c>
      <c r="E2" t="s" s="27">
        <v>63</v>
      </c>
      <c r="F2" t="s" s="27">
        <v>46</v>
      </c>
      <c r="G2" t="s" s="27">
        <v>64</v>
      </c>
      <c r="H2" t="s" s="27">
        <v>65</v>
      </c>
      <c r="I2" t="s" s="27">
        <v>66</v>
      </c>
      <c r="J2" t="s" s="27">
        <v>47</v>
      </c>
      <c r="K2" t="s" s="27">
        <v>67</v>
      </c>
      <c r="L2" s="28"/>
      <c r="M2" s="29"/>
      <c r="N2" s="29"/>
      <c r="O2" s="28"/>
      <c r="P2" s="28"/>
      <c r="Q2" s="26"/>
      <c r="R2" s="28"/>
      <c r="S2" s="29"/>
    </row>
    <row r="3" ht="36.8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t="s" s="31">
        <v>68</v>
      </c>
      <c r="M3" t="s" s="31">
        <v>69</v>
      </c>
      <c r="N3" t="s" s="31">
        <v>70</v>
      </c>
      <c r="O3" t="s" s="31">
        <v>71</v>
      </c>
      <c r="P3" t="s" s="31">
        <v>72</v>
      </c>
      <c r="Q3" t="s" s="32">
        <v>73</v>
      </c>
      <c r="R3" t="s" s="31">
        <v>74</v>
      </c>
      <c r="S3" t="s" s="33">
        <v>75</v>
      </c>
    </row>
    <row r="4" ht="22.6" customHeight="1">
      <c r="A4" t="s" s="34">
        <v>76</v>
      </c>
      <c r="B4" s="35">
        <v>88797729999.9119</v>
      </c>
      <c r="C4" s="36">
        <v>87114451466.9119</v>
      </c>
      <c r="D4" s="36">
        <v>-1683278533</v>
      </c>
      <c r="E4" s="36">
        <v>1220000000</v>
      </c>
      <c r="F4" s="36">
        <v>1497440000</v>
      </c>
      <c r="G4" s="36">
        <v>2539348000</v>
      </c>
      <c r="H4" s="36">
        <v>278176000</v>
      </c>
      <c r="I4" s="37">
        <v>6150845501.4686</v>
      </c>
      <c r="J4" s="36"/>
      <c r="K4" s="36">
        <v>3926037000</v>
      </c>
      <c r="L4" s="36">
        <v>16080000000</v>
      </c>
      <c r="M4" s="36">
        <v>10495200000</v>
      </c>
      <c r="N4" s="36">
        <v>11622500000</v>
      </c>
      <c r="O4" s="36">
        <v>4138219000</v>
      </c>
      <c r="P4" s="36">
        <v>1515564000</v>
      </c>
      <c r="Q4" s="36">
        <v>2992140000</v>
      </c>
      <c r="R4" s="36">
        <v>1522350000</v>
      </c>
      <c r="S4" s="38">
        <v>19800000000</v>
      </c>
    </row>
    <row r="5" ht="22.5" customHeight="1">
      <c r="A5" t="s" s="39">
        <v>77</v>
      </c>
      <c r="B5" s="40" cm="1">
        <f t="array" ref="B5">C5-D5</f>
        <v>91645672508.7361</v>
      </c>
      <c r="C5" s="41" cm="1">
        <f t="array" ref="C5">SUM(D5:S5)</f>
        <v>89962394508.7361</v>
      </c>
      <c r="D5" s="42" cm="1">
        <f t="array" ref="D5">'Bank - INTEREST &amp; LOAN'!C3</f>
        <v>-1683278000</v>
      </c>
      <c r="E5" s="43" cm="1">
        <f t="array" ref="E5">'Financial fund - CASH'!E3</f>
        <v>1065000000</v>
      </c>
      <c r="F5" s="43" cm="1">
        <f t="array" ref="F5">'Financial fund - CASH'!H3</f>
        <v>2993337720</v>
      </c>
      <c r="G5" s="43" cm="1">
        <f t="array" ref="G5">'Financial fund - CASH'!N3+'Financial fund - CASH'!K3</f>
        <v>7985071795</v>
      </c>
      <c r="H5" s="43" cm="1">
        <f t="array" ref="H5">'Financial fund - CASH'!Q3</f>
        <v>1052548425</v>
      </c>
      <c r="I5" s="44" cm="1">
        <f t="array" ref="I5">'Cash flow - CASH FLOW'!B3</f>
        <v>527394568.73607</v>
      </c>
      <c r="J5" s="43"/>
      <c r="K5" s="43" cm="1">
        <f t="array" ref="K5">K4</f>
        <v>3926037000</v>
      </c>
      <c r="L5" s="43" cm="1">
        <f t="array" ref="L5">L4*(1+'Info - danh-muc-2026-03-17 5-1'!$F$36)-'Income - Expense - INCOME'!I3</f>
        <v>18009600000</v>
      </c>
      <c r="M5" s="43" cm="1">
        <f t="array" ref="M5">M4*(1+'Info - danh-muc-2026-03-17 5-1'!$F$36)</f>
        <v>11754624000</v>
      </c>
      <c r="N5" s="43" cm="1">
        <f t="array" ref="N5">N4*(1+'Info - danh-muc-2026-03-17 5-1'!$F$37)</f>
        <v>12784750000</v>
      </c>
      <c r="O5" s="43" cm="1">
        <f t="array" ref="O5">O4</f>
        <v>4138219000</v>
      </c>
      <c r="P5" s="43" cm="1">
        <f t="array" ref="P5">P4</f>
        <v>1515564000</v>
      </c>
      <c r="Q5" s="43" cm="1">
        <f t="array" ref="Q5">Q4*(100%-10%)</f>
        <v>2692926000</v>
      </c>
      <c r="R5" s="43" cm="1">
        <f t="array" ref="R5">R4-2035000000*5%</f>
        <v>1420600000</v>
      </c>
      <c r="S5" s="45" cm="1">
        <f t="array" ref="S5">S4*(1+'Info - danh-muc-2026-03-17 5-1'!$F$37)</f>
        <v>21780000000</v>
      </c>
    </row>
    <row r="6" ht="22.5" customHeight="1">
      <c r="A6" t="s" s="39">
        <v>78</v>
      </c>
      <c r="B6" s="46" cm="1">
        <f t="array" ref="B6">C6-D6</f>
        <v>100363617189.855</v>
      </c>
      <c r="C6" s="47" cm="1">
        <f t="array" ref="C6">SUM(D6:S6)</f>
        <v>98680339189.8548</v>
      </c>
      <c r="D6" s="48" cm="1">
        <f t="array" ref="D6">'Bank - INTEREST &amp; LOAN'!C4</f>
        <v>-1683278000</v>
      </c>
      <c r="E6" s="49" cm="1">
        <f t="array" ref="E6">'Financial fund - CASH'!E4</f>
        <v>1134225000</v>
      </c>
      <c r="F6" s="49" cm="1">
        <f t="array" ref="F6">'Financial fund - CASH'!H4</f>
        <v>3346721964.44699</v>
      </c>
      <c r="G6" s="49" cm="1">
        <f t="array" ref="G6">'Financial fund - CASH'!N4+'Financial fund - CASH'!K4</f>
        <v>9534778417.970131</v>
      </c>
      <c r="H6" s="49" cm="1">
        <f t="array" ref="H6">'Financial fund - CASH'!Q4</f>
        <v>1271081064.15465</v>
      </c>
      <c r="I6" s="50" cm="1">
        <f t="array" ref="I6">'Cash flow - CASH FLOW'!B4</f>
        <v>397351463.28305</v>
      </c>
      <c r="J6" s="49"/>
      <c r="K6" s="49" cm="1">
        <f t="array" ref="K6">K5</f>
        <v>3926037000</v>
      </c>
      <c r="L6" s="49" cm="1">
        <f t="array" ref="L6">L5*(1+'Info - danh-muc-2026-03-17 5-1'!$F$36)-'Income - Expense - INCOME'!I4</f>
        <v>20170752000</v>
      </c>
      <c r="M6" s="49" cm="1">
        <f t="array" ref="M6">M5*(1+'Info - danh-muc-2026-03-17 5-1'!$F$36)</f>
        <v>13165178880</v>
      </c>
      <c r="N6" s="49" cm="1">
        <f t="array" ref="N6">N5*(1+'Info - danh-muc-2026-03-17 5-1'!$F$37)</f>
        <v>14063225000</v>
      </c>
      <c r="O6" s="49" cm="1">
        <f t="array" ref="O6">O5</f>
        <v>4138219000</v>
      </c>
      <c r="P6" s="49" cm="1">
        <f t="array" ref="P6">P5</f>
        <v>1515564000</v>
      </c>
      <c r="Q6" s="49" cm="1">
        <f t="array" ref="Q6">Q5*(100%-10%)</f>
        <v>2423633400</v>
      </c>
      <c r="R6" s="49" cm="1">
        <f t="array" ref="R6">R5-2035000000*5%</f>
        <v>1318850000</v>
      </c>
      <c r="S6" s="51" cm="1">
        <f t="array" ref="S6">S5*(1+'Info - danh-muc-2026-03-17 5-1'!$F$37)</f>
        <v>23958000000</v>
      </c>
    </row>
    <row r="7" ht="22.5" customHeight="1">
      <c r="A7" t="s" s="39">
        <v>79</v>
      </c>
      <c r="B7" s="40" cm="1">
        <f t="array" ref="B7">C7-D7</f>
        <v>110198702022.869</v>
      </c>
      <c r="C7" s="41" cm="1">
        <f t="array" ref="C7">SUM(D7:S7)</f>
        <v>108515424022.869</v>
      </c>
      <c r="D7" s="42" cm="1">
        <f t="array" ref="D7">'Bank - INTEREST &amp; LOAN'!C5</f>
        <v>-1683278000</v>
      </c>
      <c r="E7" s="43" cm="1">
        <f t="array" ref="E7">'Financial fund - CASH'!E5</f>
        <v>1207949625</v>
      </c>
      <c r="F7" s="43" cm="1">
        <f t="array" ref="F7">'Financial fund - CASH'!H5</f>
        <v>3700287637.67189</v>
      </c>
      <c r="G7" s="43" cm="1">
        <f t="array" ref="G7">'Financial fund - CASH'!N5+'Financial fund - CASH'!K5</f>
        <v>11203337616.0463</v>
      </c>
      <c r="H7" s="43" cm="1">
        <f t="array" ref="H7">'Financial fund - CASH'!Q5</f>
        <v>1507438642.0554</v>
      </c>
      <c r="I7" s="44" cm="1">
        <f t="array" ref="I7">'Cash flow - CASH FLOW'!B5</f>
        <v>441908356.49563</v>
      </c>
      <c r="J7" s="43"/>
      <c r="K7" s="43" cm="1">
        <f t="array" ref="K7">K6</f>
        <v>3926037000</v>
      </c>
      <c r="L7" s="43" cm="1">
        <f t="array" ref="L7">L6*(1+'Info - danh-muc-2026-03-17 5-1'!$F$36)-'Income - Expense - INCOME'!I5</f>
        <v>22591242240</v>
      </c>
      <c r="M7" s="43" cm="1">
        <f t="array" ref="M7">M6*(1+'Info - danh-muc-2026-03-17 5-1'!$F$36)</f>
        <v>14745000345.6</v>
      </c>
      <c r="N7" s="43" cm="1">
        <f t="array" ref="N7">N6*(1+'Info - danh-muc-2026-03-17 5-1'!$F$37)</f>
        <v>15469547500</v>
      </c>
      <c r="O7" s="43" cm="1">
        <f t="array" ref="O7">O6</f>
        <v>4138219000</v>
      </c>
      <c r="P7" s="43" cm="1">
        <f t="array" ref="P7">P6</f>
        <v>1515564000</v>
      </c>
      <c r="Q7" s="43" cm="1">
        <f t="array" ref="Q7">Q6*(100%-10%)</f>
        <v>2181270060</v>
      </c>
      <c r="R7" s="43" cm="1">
        <f t="array" ref="R7">R6-2035000000*5%</f>
        <v>1217100000</v>
      </c>
      <c r="S7" s="45" cm="1">
        <f t="array" ref="S7">S6*(1+'Info - danh-muc-2026-03-17 5-1'!$F$37)</f>
        <v>26353800000</v>
      </c>
    </row>
    <row r="8" ht="22.5" customHeight="1">
      <c r="A8" t="s" s="39">
        <v>80</v>
      </c>
      <c r="B8" s="46" cm="1">
        <f t="array" ref="B8">C8-D8</f>
        <v>121269830317.337</v>
      </c>
      <c r="C8" s="47" cm="1">
        <f t="array" ref="C8">SUM(D8:S8)</f>
        <v>119586552317.337</v>
      </c>
      <c r="D8" s="48" cm="1">
        <f t="array" ref="D8">'Bank - INTEREST &amp; LOAN'!C6</f>
        <v>-1683278000</v>
      </c>
      <c r="E8" s="49" cm="1">
        <f t="array" ref="E8">'Financial fund - CASH'!E6</f>
        <v>1286466350.625</v>
      </c>
      <c r="F8" s="49" cm="1">
        <f t="array" ref="F8">'Financial fund - CASH'!H6</f>
        <v>4091762853.6887</v>
      </c>
      <c r="G8" s="49" cm="1">
        <f t="array" ref="G8">'Financial fund - CASH'!N6+'Financial fund - CASH'!K6</f>
        <v>13148060248.4004</v>
      </c>
      <c r="H8" s="49" cm="1">
        <f t="array" ref="H8">'Financial fund - CASH'!Q6</f>
        <v>1784373899.3607</v>
      </c>
      <c r="I8" s="50" cm="1">
        <f t="array" ref="I8">'Cash flow - CASH FLOW'!B6</f>
        <v>478579965.39026</v>
      </c>
      <c r="J8" s="49"/>
      <c r="K8" s="49" cm="1">
        <f t="array" ref="K8">K7</f>
        <v>3926037000</v>
      </c>
      <c r="L8" s="49" cm="1">
        <f t="array" ref="L8">L7*(1+'Info - danh-muc-2026-03-17 5-1'!$F$36)-'Income - Expense - INCOME'!I6</f>
        <v>25302191308.8</v>
      </c>
      <c r="M8" s="49" cm="1">
        <f t="array" ref="M8">M7*(1+'Info - danh-muc-2026-03-17 5-1'!$F$36)</f>
        <v>16514400387.072</v>
      </c>
      <c r="N8" s="49" cm="1">
        <f t="array" ref="N8">N7*(1+'Info - danh-muc-2026-03-17 5-1'!$F$37)</f>
        <v>17016502250</v>
      </c>
      <c r="O8" s="49" cm="1">
        <f t="array" ref="O8">O7</f>
        <v>4138219000</v>
      </c>
      <c r="P8" s="49" cm="1">
        <f t="array" ref="P8">P7</f>
        <v>1515564000</v>
      </c>
      <c r="Q8" s="49" cm="1">
        <f t="array" ref="Q8">Q7*(100%-10%)</f>
        <v>1963143054</v>
      </c>
      <c r="R8" s="49" cm="1">
        <f t="array" ref="R8">R7-2035000000*5%</f>
        <v>1115350000</v>
      </c>
      <c r="S8" s="51" cm="1">
        <f t="array" ref="S8">S7*(1+'Info - danh-muc-2026-03-17 5-1'!$F$37)</f>
        <v>28989180000</v>
      </c>
    </row>
    <row r="9" ht="22.5" customHeight="1">
      <c r="A9" t="s" s="39">
        <v>81</v>
      </c>
      <c r="B9" s="40" cm="1">
        <f t="array" ref="B9">C9-D9</f>
        <v>133754826796</v>
      </c>
      <c r="C9" s="41" cm="1">
        <f t="array" ref="C9">SUM(D9:S9)</f>
        <v>132071548796</v>
      </c>
      <c r="D9" s="42" cm="1">
        <f t="array" ref="D9">'Bank - INTEREST &amp; LOAN'!C7</f>
        <v>-1683278000</v>
      </c>
      <c r="E9" s="43" cm="1">
        <f t="array" ref="E9">'Financial fund - CASH'!E7</f>
        <v>1370086663.41563</v>
      </c>
      <c r="F9" s="43" cm="1">
        <f t="array" ref="F9">'Financial fund - CASH'!H7</f>
        <v>4522477154.50809</v>
      </c>
      <c r="G9" s="43" cm="1">
        <f t="array" ref="G9">'Financial fund - CASH'!N7+'Financial fund - CASH'!K7</f>
        <v>15402904159.6426</v>
      </c>
      <c r="H9" s="43" cm="1">
        <f t="array" ref="H9">'Financial fund - CASH'!Q7</f>
        <v>2107066680.28469</v>
      </c>
      <c r="I9" s="44" cm="1">
        <f t="array" ref="I9">'Cash flow - CASH FLOW'!B7</f>
        <v>551210215.1727</v>
      </c>
      <c r="J9" s="43"/>
      <c r="K9" s="43" cm="1">
        <f t="array" ref="K9">K8</f>
        <v>3926037000</v>
      </c>
      <c r="L9" s="43" cm="1">
        <f t="array" ref="L9">L8*(1+'Info - danh-muc-2026-03-17 5-1'!$F$36)-'Income - Expense - INCOME'!I7</f>
        <v>28338454265.856</v>
      </c>
      <c r="M9" s="43" cm="1">
        <f t="array" ref="M9">M8*(1+'Info - danh-muc-2026-03-17 5-1'!$F$36)</f>
        <v>18496128433.5206</v>
      </c>
      <c r="N9" s="43" cm="1">
        <f t="array" ref="N9">N8*(1+'Info - danh-muc-2026-03-17 5-1'!$F$37)</f>
        <v>18718152475</v>
      </c>
      <c r="O9" s="43" cm="1">
        <f t="array" ref="O9">O8</f>
        <v>4138219000</v>
      </c>
      <c r="P9" s="43" cm="1">
        <f t="array" ref="P9">P8</f>
        <v>1515564000</v>
      </c>
      <c r="Q9" s="43" cm="1">
        <f t="array" ref="Q9">Q8*(100%-10%)</f>
        <v>1766828748.6</v>
      </c>
      <c r="R9" s="43" cm="1">
        <f t="array" ref="R9">R8-2035000000*5%</f>
        <v>1013600000</v>
      </c>
      <c r="S9" s="45" cm="1">
        <f t="array" ref="S9">S8*(1+'Info - danh-muc-2026-03-17 5-1'!$F$37)</f>
        <v>31888098000</v>
      </c>
    </row>
    <row r="10" ht="22.5" customHeight="1">
      <c r="A10" t="s" s="39">
        <v>82</v>
      </c>
      <c r="B10" s="46" cm="1">
        <f t="array" ref="B10">C10-D10</f>
        <v>147757403376.872</v>
      </c>
      <c r="C10" s="47" cm="1">
        <f t="array" ref="C10">SUM(D10:S10)</f>
        <v>146074125376.872</v>
      </c>
      <c r="D10" s="48" cm="1">
        <f t="array" ref="D10">'Bank - INTEREST &amp; LOAN'!C8</f>
        <v>-1683278000</v>
      </c>
      <c r="E10" s="49" cm="1">
        <f t="array" ref="E10">'Financial fund - CASH'!E8</f>
        <v>1459142296.53765</v>
      </c>
      <c r="F10" s="49" cm="1">
        <f t="array" ref="F10">'Financial fund - CASH'!H8</f>
        <v>5003336733.34604</v>
      </c>
      <c r="G10" s="49" cm="1">
        <f t="array" ref="G10">'Financial fund - CASH'!N8+'Financial fund - CASH'!K8</f>
        <v>18041898767.5209</v>
      </c>
      <c r="H10" s="49" cm="1">
        <f t="array" ref="H10">'Financial fund - CASH'!Q8</f>
        <v>2486515857.07225</v>
      </c>
      <c r="I10" s="50" cm="1">
        <f t="array" ref="I10">'Cash flow - CASH FLOW'!B8</f>
        <v>563085702.85342</v>
      </c>
      <c r="J10" s="49"/>
      <c r="K10" s="49" cm="1">
        <f t="array" ref="K10">K9</f>
        <v>3926037000</v>
      </c>
      <c r="L10" s="49" cm="1">
        <f t="array" ref="L10">L9*(1+'Info - danh-muc-2026-03-17 5-1'!$F$36)-'Income - Expense - INCOME'!I8</f>
        <v>31739068777.7587</v>
      </c>
      <c r="M10" s="49" cm="1">
        <f t="array" ref="M10">M9*(1+'Info - danh-muc-2026-03-17 5-1'!$F$36)</f>
        <v>20715663845.5431</v>
      </c>
      <c r="N10" s="49" cm="1">
        <f t="array" ref="N10">N9*(1+'Info - danh-muc-2026-03-17 5-1'!$F$37)</f>
        <v>20589967722.5</v>
      </c>
      <c r="O10" s="49" cm="1">
        <f t="array" ref="O10">O9</f>
        <v>4138219000</v>
      </c>
      <c r="P10" s="49" cm="1">
        <f t="array" ref="P10">P9</f>
        <v>1515564000</v>
      </c>
      <c r="Q10" s="49" cm="1">
        <f t="array" ref="Q10">Q9*(100%-10%)</f>
        <v>1590145873.74</v>
      </c>
      <c r="R10" s="49" cm="1">
        <f t="array" ref="R10">R9-2035000000*5%</f>
        <v>911850000</v>
      </c>
      <c r="S10" s="51" cm="1">
        <f t="array" ref="S10">S9*(1+'Info - danh-muc-2026-03-17 5-1'!$F$37)</f>
        <v>35076907800</v>
      </c>
    </row>
    <row r="11" ht="22.5" customHeight="1">
      <c r="A11" t="s" s="39">
        <v>83</v>
      </c>
      <c r="B11" s="40" cm="1">
        <f t="array" ref="B11">C11-D11</f>
        <v>163455374878.771</v>
      </c>
      <c r="C11" s="41" cm="1">
        <f t="array" ref="C11">SUM(D11:S11)</f>
        <v>161772096878.771</v>
      </c>
      <c r="D11" s="42" cm="1">
        <f t="array" ref="D11">'Bank - INTEREST &amp; LOAN'!C9</f>
        <v>-1683278000</v>
      </c>
      <c r="E11" s="43" cm="1">
        <f t="array" ref="E11">'Financial fund - CASH'!E9</f>
        <v>1553986545.8126</v>
      </c>
      <c r="F11" s="43" cm="1">
        <f t="array" ref="F11">'Financial fund - CASH'!H9</f>
        <v>5525230183.83006</v>
      </c>
      <c r="G11" s="43" cm="1">
        <f t="array" ref="G11">'Financial fund - CASH'!N9+'Financial fund - CASH'!K9</f>
        <v>21072558948.4113</v>
      </c>
      <c r="H11" s="43" cm="1">
        <f t="array" ref="H11">'Financial fund - CASH'!Q9</f>
        <v>2924248091.46123</v>
      </c>
      <c r="I11" s="44" cm="1">
        <f t="array" ref="I11">'Cash flow - CASH FLOW'!B9</f>
        <v>575436210.04137</v>
      </c>
      <c r="J11" s="43"/>
      <c r="K11" s="43" cm="1">
        <f t="array" ref="K11">K10</f>
        <v>3926037000</v>
      </c>
      <c r="L11" s="43" cm="1">
        <f t="array" ref="L11">L10*(1+'Info - danh-muc-2026-03-17 5-1'!$F$36)-'Income - Expense - INCOME'!I9</f>
        <v>35547757031.0897</v>
      </c>
      <c r="M11" s="43" cm="1">
        <f t="array" ref="M11">M10*(1+'Info - danh-muc-2026-03-17 5-1'!$F$36)</f>
        <v>23201543507.0083</v>
      </c>
      <c r="N11" s="43" cm="1">
        <f t="array" ref="N11">N10*(1+'Info - danh-muc-2026-03-17 5-1'!$F$37)</f>
        <v>22648964494.75</v>
      </c>
      <c r="O11" s="43" cm="1">
        <f t="array" ref="O11">O10</f>
        <v>4138219000</v>
      </c>
      <c r="P11" s="43" cm="1">
        <f t="array" ref="P11">P10</f>
        <v>1515564000</v>
      </c>
      <c r="Q11" s="43" cm="1">
        <f t="array" ref="Q11">Q10*(100%-10%)</f>
        <v>1431131286.366</v>
      </c>
      <c r="R11" s="43" cm="1">
        <f t="array" ref="R11">R10-2035000000*5%</f>
        <v>810100000</v>
      </c>
      <c r="S11" s="45" cm="1">
        <f t="array" ref="S11">S10*(1+'Info - danh-muc-2026-03-17 5-1'!$F$37)</f>
        <v>38584598580</v>
      </c>
    </row>
    <row r="12" ht="22.5" customHeight="1">
      <c r="A12" t="s" s="39">
        <v>84</v>
      </c>
      <c r="B12" s="46" cm="1">
        <f t="array" ref="B12">C12-D12</f>
        <v>181048909761.88</v>
      </c>
      <c r="C12" s="47" cm="1">
        <f t="array" ref="C12">SUM(D12:S12)</f>
        <v>179365631761.88</v>
      </c>
      <c r="D12" s="48" cm="1">
        <f t="array" ref="D12">'Bank - INTEREST &amp; LOAN'!C10</f>
        <v>-1683278000</v>
      </c>
      <c r="E12" s="49" cm="1">
        <f t="array" ref="E12">'Financial fund - CASH'!E10</f>
        <v>1654995671.29042</v>
      </c>
      <c r="F12" s="49" cm="1">
        <f t="array" ref="F12">'Financial fund - CASH'!H10</f>
        <v>6091542819.9054</v>
      </c>
      <c r="G12" s="49" cm="1">
        <f t="array" ref="G12">'Financial fund - CASH'!N10+'Financial fund - CASH'!K10</f>
        <v>24552705921.2083</v>
      </c>
      <c r="H12" s="49" cm="1">
        <f t="array" ref="H12">'Financial fund - CASH'!Q10</f>
        <v>3429060469.33518</v>
      </c>
      <c r="I12" s="50" cm="1">
        <f t="array" ref="I12">'Cash flow - CASH FLOW'!B10</f>
        <v>588280737.51683</v>
      </c>
      <c r="J12" s="49"/>
      <c r="K12" s="49" cm="1">
        <f t="array" ref="K12">K11</f>
        <v>3926037000</v>
      </c>
      <c r="L12" s="49" cm="1">
        <f t="array" ref="L12">L11*(1+'Info - danh-muc-2026-03-17 5-1'!$F$36)-'Income - Expense - INCOME'!I10</f>
        <v>39813487874.8205</v>
      </c>
      <c r="M12" s="49" cm="1">
        <f t="array" ref="M12">M11*(1+'Info - danh-muc-2026-03-17 5-1'!$F$36)</f>
        <v>25985728727.8493</v>
      </c>
      <c r="N12" s="49" cm="1">
        <f t="array" ref="N12">N11*(1+'Info - danh-muc-2026-03-17 5-1'!$F$37)</f>
        <v>24913860944.225</v>
      </c>
      <c r="O12" s="49" cm="1">
        <f t="array" ref="O12">O11</f>
        <v>4138219000</v>
      </c>
      <c r="P12" s="49" cm="1">
        <f t="array" ref="P12">P11</f>
        <v>1515564000</v>
      </c>
      <c r="Q12" s="49" cm="1">
        <f t="array" ref="Q12">Q11*(100%-10%)</f>
        <v>1288018157.7294</v>
      </c>
      <c r="R12" s="49" cm="1">
        <f t="array" ref="R12">R11-2035000000*5%</f>
        <v>708350000</v>
      </c>
      <c r="S12" s="51" cm="1">
        <f t="array" ref="S12">S11*(1+'Info - danh-muc-2026-03-17 5-1'!$F$37)</f>
        <v>42443058438</v>
      </c>
    </row>
    <row r="13" ht="22.5" customHeight="1">
      <c r="A13" t="s" s="39">
        <v>85</v>
      </c>
      <c r="B13" s="40" cm="1">
        <f t="array" ref="B13">C13-D13</f>
        <v>200763314831.209</v>
      </c>
      <c r="C13" s="41" cm="1">
        <f t="array" ref="C13">SUM(D13:S13)</f>
        <v>199080036831.209</v>
      </c>
      <c r="D13" s="42" cm="1">
        <f t="array" ref="D13">'Bank - INTEREST &amp; LOAN'!C11</f>
        <v>-1683278000</v>
      </c>
      <c r="E13" s="43" cm="1">
        <f t="array" ref="E13">'Financial fund - CASH'!E11</f>
        <v>1762570389.9243</v>
      </c>
      <c r="F13" s="43" cm="1">
        <f t="array" ref="F13">'Financial fund - CASH'!H11</f>
        <v>6705934884.80147</v>
      </c>
      <c r="G13" s="43" cm="1">
        <f t="array" ref="G13">'Financial fund - CASH'!N11+'Financial fund - CASH'!K11</f>
        <v>28548728428.4481</v>
      </c>
      <c r="H13" s="43" cm="1">
        <f t="array" ref="H13">'Financial fund - CASH'!Q11</f>
        <v>4011071824.54989</v>
      </c>
      <c r="I13" s="44" cm="1">
        <f t="array" ref="I13">'Cash flow - CASH FLOW'!B11</f>
        <v>601639046.09132</v>
      </c>
      <c r="J13" s="43"/>
      <c r="K13" s="43" cm="1">
        <f t="array" ref="K13">K12</f>
        <v>3926037000</v>
      </c>
      <c r="L13" s="43" cm="1">
        <f t="array" ref="L13">L12*(1+'Info - danh-muc-2026-03-17 5-1'!$F$36)-'Income - Expense - INCOME'!I11</f>
        <v>44591106419.799</v>
      </c>
      <c r="M13" s="43" cm="1">
        <f t="array" ref="M13">M12*(1+'Info - danh-muc-2026-03-17 5-1'!$F$36)</f>
        <v>29104016175.1912</v>
      </c>
      <c r="N13" s="43" cm="1">
        <f t="array" ref="N13">N12*(1+'Info - danh-muc-2026-03-17 5-1'!$F$37)</f>
        <v>27405247038.6475</v>
      </c>
      <c r="O13" s="43" cm="1">
        <f t="array" ref="O13">O12</f>
        <v>4138219000</v>
      </c>
      <c r="P13" s="43" cm="1">
        <f t="array" ref="P13">P12</f>
        <v>1515564000</v>
      </c>
      <c r="Q13" s="43" cm="1">
        <f t="array" ref="Q13">Q12*(100%-10%)</f>
        <v>1159216341.95646</v>
      </c>
      <c r="R13" s="43" cm="1">
        <f t="array" ref="R13">R12-2035000000*5%</f>
        <v>606600000</v>
      </c>
      <c r="S13" s="45" cm="1">
        <f t="array" ref="S13">S12*(1+'Info - danh-muc-2026-03-17 5-1'!$F$37)</f>
        <v>46687364281.8</v>
      </c>
    </row>
    <row r="14" ht="22.5" customHeight="1">
      <c r="A14" t="s" s="39">
        <v>86</v>
      </c>
      <c r="B14" s="46" cm="1">
        <f t="array" ref="B14">C14-D14</f>
        <v>222852185889.176</v>
      </c>
      <c r="C14" s="47" cm="1">
        <f t="array" ref="C14">SUM(D14:S14)</f>
        <v>221168907889.176</v>
      </c>
      <c r="D14" s="48" cm="1">
        <f t="array" ref="D14">'Bank - INTEREST &amp; LOAN'!C12</f>
        <v>-1683278000</v>
      </c>
      <c r="E14" s="49" cm="1">
        <f t="array" ref="E14">'Financial fund - CASH'!E12</f>
        <v>1877137465.26938</v>
      </c>
      <c r="F14" s="49" cm="1">
        <f t="array" ref="F14">'Financial fund - CASH'!H12</f>
        <v>7372363709.54131</v>
      </c>
      <c r="G14" s="49" cm="1">
        <f t="array" ref="G14">'Financial fund - CASH'!N12+'Financial fund - CASH'!K12</f>
        <v>33136857472.1819</v>
      </c>
      <c r="H14" s="49" cm="1">
        <f t="array" ref="H14">'Financial fund - CASH'!Q12</f>
        <v>4681921088.53287</v>
      </c>
      <c r="I14" s="50" cm="1">
        <f t="array" ref="I14">'Cash flow - CASH FLOW'!B12</f>
        <v>615531687.00878</v>
      </c>
      <c r="J14" s="49"/>
      <c r="K14" s="49" cm="1">
        <f t="array" ref="K14">K13</f>
        <v>3926037000</v>
      </c>
      <c r="L14" s="49" cm="1">
        <f t="array" ref="L14">L13*(1+'Info - danh-muc-2026-03-17 5-1'!$F$36)-'Income - Expense - INCOME'!I12</f>
        <v>49942039190.1749</v>
      </c>
      <c r="M14" s="49" cm="1">
        <f t="array" ref="M14">M13*(1+'Info - danh-muc-2026-03-17 5-1'!$F$36)</f>
        <v>32596498116.2141</v>
      </c>
      <c r="N14" s="49" cm="1">
        <f t="array" ref="N14">N13*(1+'Info - danh-muc-2026-03-17 5-1'!$F$37)</f>
        <v>30145771742.5123</v>
      </c>
      <c r="O14" s="49" cm="1">
        <f t="array" ref="O14">O13</f>
        <v>4138219000</v>
      </c>
      <c r="P14" s="49" cm="1">
        <f t="array" ref="P14">P13</f>
        <v>1515564000</v>
      </c>
      <c r="Q14" s="49" cm="1">
        <f t="array" ref="Q14">Q13*(100%-10%)</f>
        <v>1043294707.76081</v>
      </c>
      <c r="R14" s="49" cm="1">
        <f t="array" ref="R14">R13-2035000000*5%</f>
        <v>504850000</v>
      </c>
      <c r="S14" s="51" cm="1">
        <f t="array" ref="S14">S13*(1+'Info - danh-muc-2026-03-17 5-1'!$F$37)</f>
        <v>51356100709.98</v>
      </c>
    </row>
    <row r="15" ht="22.5" customHeight="1">
      <c r="A15" t="s" s="39">
        <v>87</v>
      </c>
      <c r="B15" s="40" cm="1">
        <f t="array" ref="B15">C15-D15</f>
        <v>247600972488.029</v>
      </c>
      <c r="C15" s="41" cm="1">
        <f t="array" ref="C15">SUM(D15:S15)</f>
        <v>245917694488.029</v>
      </c>
      <c r="D15" s="42" cm="1">
        <f t="array" ref="D15">'Bank - INTEREST &amp; LOAN'!C13</f>
        <v>-1683278000</v>
      </c>
      <c r="E15" s="43" cm="1">
        <f t="array" ref="E15">'Financial fund - CASH'!E13</f>
        <v>1999151400.51189</v>
      </c>
      <c r="F15" s="43" cm="1">
        <f t="array" ref="F15">'Financial fund - CASH'!H13</f>
        <v>8095107650.69852</v>
      </c>
      <c r="G15" s="43" cm="1">
        <f t="array" ref="G15">'Financial fund - CASH'!N13+'Financial fund - CASH'!K13</f>
        <v>38404631289.5551</v>
      </c>
      <c r="H15" s="43" cm="1">
        <f t="array" ref="H15">'Financial fund - CASH'!Q13</f>
        <v>5454995395.81881</v>
      </c>
      <c r="I15" s="44" cm="1">
        <f t="array" ref="I15">'Cash flow - CASH FLOW'!B13</f>
        <v>629980033.56294</v>
      </c>
      <c r="J15" s="43"/>
      <c r="K15" s="43" cm="1">
        <f t="array" ref="K15">K14</f>
        <v>3926037000</v>
      </c>
      <c r="L15" s="43" cm="1">
        <f t="array" ref="L15">L14*(1+'Info - danh-muc-2026-03-17 5-1'!$F$36)-'Income - Expense - INCOME'!I13</f>
        <v>55935083892.9959</v>
      </c>
      <c r="M15" s="43" cm="1">
        <f t="array" ref="M15">M14*(1+'Info - danh-muc-2026-03-17 5-1'!$F$36)</f>
        <v>36508077890.1598</v>
      </c>
      <c r="N15" s="43" cm="1">
        <f t="array" ref="N15">N14*(1+'Info - danh-muc-2026-03-17 5-1'!$F$37)</f>
        <v>33160348916.7635</v>
      </c>
      <c r="O15" s="43" cm="1">
        <f t="array" ref="O15">O14</f>
        <v>4138219000</v>
      </c>
      <c r="P15" s="43" cm="1">
        <f t="array" ref="P15">P14</f>
        <v>1515564000</v>
      </c>
      <c r="Q15" s="43" cm="1">
        <f t="array" ref="Q15">Q14*(100%-10%)</f>
        <v>938965236.9847291</v>
      </c>
      <c r="R15" s="43" cm="1">
        <f t="array" ref="R15">R14-2035000000*5%</f>
        <v>403100000</v>
      </c>
      <c r="S15" s="45" cm="1">
        <f t="array" ref="S15">S14*(1+'Info - danh-muc-2026-03-17 5-1'!$F$37)</f>
        <v>56491710780.978</v>
      </c>
    </row>
    <row r="16" ht="22.5" customHeight="1">
      <c r="A16" t="s" s="39">
        <v>88</v>
      </c>
      <c r="B16" s="46" cm="1">
        <f t="array" ref="B16">C16-D16</f>
        <v>275331011507.79</v>
      </c>
      <c r="C16" s="47" cm="1">
        <f t="array" ref="C16">SUM(D16:S16)</f>
        <v>273647733507.79</v>
      </c>
      <c r="D16" s="48" cm="1">
        <f t="array" ref="D16">'Bank - INTEREST &amp; LOAN'!C14</f>
        <v>-1683278000</v>
      </c>
      <c r="E16" s="49" cm="1">
        <f t="array" ref="E16">'Financial fund - CASH'!E14</f>
        <v>2129096241.54516</v>
      </c>
      <c r="F16" s="49" cm="1">
        <f t="array" ref="F16">'Financial fund - CASH'!H14</f>
        <v>8878791950.004</v>
      </c>
      <c r="G16" s="49" cm="1">
        <f t="array" ref="G16">'Financial fund - CASH'!N14+'Financial fund - CASH'!K14</f>
        <v>44452579015.2743</v>
      </c>
      <c r="H16" s="49" cm="1">
        <f t="array" ref="H16">'Financial fund - CASH'!Q14</f>
        <v>6345692409.05137</v>
      </c>
      <c r="I16" s="50" cm="1">
        <f t="array" ref="I16">'Cash flow - CASH FLOW'!B14</f>
        <v>645006313.97927</v>
      </c>
      <c r="J16" s="49"/>
      <c r="K16" s="49" cm="1">
        <f t="array" ref="K16">K15</f>
        <v>3926037000</v>
      </c>
      <c r="L16" s="49" cm="1">
        <f t="array" ref="L16">L15*(1+'Info - danh-muc-2026-03-17 5-1'!$F$36)-'Income - Expense - INCOME'!I14</f>
        <v>62647293960.1554</v>
      </c>
      <c r="M16" s="49" cm="1">
        <f t="array" ref="M16">M15*(1+'Info - danh-muc-2026-03-17 5-1'!$F$36)</f>
        <v>40889047236.979</v>
      </c>
      <c r="N16" s="49" cm="1">
        <f t="array" ref="N16">N15*(1+'Info - danh-muc-2026-03-17 5-1'!$F$37)</f>
        <v>36476383808.4399</v>
      </c>
      <c r="O16" s="49" cm="1">
        <f t="array" ref="O16">O15</f>
        <v>4138219000</v>
      </c>
      <c r="P16" s="49" cm="1">
        <f t="array" ref="P16">P15</f>
        <v>1515564000</v>
      </c>
      <c r="Q16" s="49" cm="1">
        <f t="array" ref="Q16">Q15*(100%-10%)</f>
        <v>845068713.286256</v>
      </c>
      <c r="R16" s="49" cm="1">
        <f t="array" ref="R16">R15-2035000000*5%</f>
        <v>301350000</v>
      </c>
      <c r="S16" s="51" cm="1">
        <f t="array" ref="S16">S15*(1+'Info - danh-muc-2026-03-17 5-1'!$F$37)</f>
        <v>62140881859.0758</v>
      </c>
    </row>
    <row r="17" ht="22.5" customHeight="1">
      <c r="A17" t="s" s="39">
        <v>89</v>
      </c>
      <c r="B17" s="40" cm="1">
        <f t="array" ref="B17">C17-D17</f>
        <v>306368566611.33</v>
      </c>
      <c r="C17" s="41" cm="1">
        <f t="array" ref="C17">SUM(D17:S17)</f>
        <v>304685288611.33</v>
      </c>
      <c r="D17" s="42" cm="1">
        <f t="array" ref="D17">'Bank - INTEREST &amp; LOAN'!C15</f>
        <v>-1683278000</v>
      </c>
      <c r="E17" s="43" cm="1">
        <f t="array" ref="E17">'Financial fund - CASH'!E15</f>
        <v>2267487497.2456</v>
      </c>
      <c r="F17" s="43" cm="1">
        <f t="array" ref="F17">'Financial fund - CASH'!H15</f>
        <v>9728416669.823839</v>
      </c>
      <c r="G17" s="43" cm="1">
        <f t="array" ref="G17">'Financial fund - CASH'!N15+'Financial fund - CASH'!K15</f>
        <v>51396155737.1767</v>
      </c>
      <c r="H17" s="43" cm="1">
        <f t="array" ref="H17">'Financial fund - CASH'!Q15</f>
        <v>7371721996.5167</v>
      </c>
      <c r="I17" s="44" cm="1">
        <f t="array" ref="I17">'Cash flow - CASH FLOW'!B15</f>
        <v>625108493.55214</v>
      </c>
      <c r="J17" s="43"/>
      <c r="K17" s="43" cm="1">
        <f t="array" ref="K17">K16</f>
        <v>3926037000</v>
      </c>
      <c r="L17" s="43" cm="1">
        <f t="array" ref="L17">L16*(1+'Info - danh-muc-2026-03-17 5-1'!$F$36)-'Income - Expense - INCOME'!I15</f>
        <v>70164969235.37399</v>
      </c>
      <c r="M17" s="43" cm="1">
        <f t="array" ref="M17">M16*(1+'Info - danh-muc-2026-03-17 5-1'!$F$36)</f>
        <v>45795732905.4165</v>
      </c>
      <c r="N17" s="43" cm="1">
        <f t="array" ref="N17">N16*(1+'Info - danh-muc-2026-03-17 5-1'!$F$37)</f>
        <v>40124022189.2839</v>
      </c>
      <c r="O17" s="43" cm="1">
        <f t="array" ref="O17">O16</f>
        <v>4138219000</v>
      </c>
      <c r="P17" s="43" cm="1">
        <f t="array" ref="P17">P16</f>
        <v>1515564000</v>
      </c>
      <c r="Q17" s="43" cm="1">
        <f t="array" ref="Q17">Q16*(100%-10%)</f>
        <v>760561841.95763</v>
      </c>
      <c r="R17" s="43" cm="1">
        <f t="array" ref="R17">R16-2035000000*5%</f>
        <v>199600000</v>
      </c>
      <c r="S17" s="45" cm="1">
        <f t="array" ref="S17">S16*(1+'Info - danh-muc-2026-03-17 5-1'!$F$37)</f>
        <v>68354970044.9834</v>
      </c>
    </row>
    <row r="18" ht="22.5" customHeight="1">
      <c r="A18" t="s" s="39">
        <v>90</v>
      </c>
      <c r="B18" s="46" cm="1">
        <f t="array" ref="B18">C18-D18</f>
        <v>341151951778.704</v>
      </c>
      <c r="C18" s="47" cm="1">
        <f t="array" ref="C18">SUM(D18:S18)</f>
        <v>339468673778.704</v>
      </c>
      <c r="D18" s="48" cm="1">
        <f t="array" ref="D18">'Bank - INTEREST &amp; LOAN'!C16</f>
        <v>-1683278000</v>
      </c>
      <c r="E18" s="49" cm="1">
        <f t="array" ref="E18">'Financial fund - CASH'!E16</f>
        <v>2414874184.56656</v>
      </c>
      <c r="F18" s="49" cm="1">
        <f t="array" ref="F18">'Financial fund - CASH'!H16</f>
        <v>10641713438.017</v>
      </c>
      <c r="G18" s="49" cm="1">
        <f t="array" ref="G18">'Financial fund - CASH'!N16+'Financial fund - CASH'!K16</f>
        <v>59339581951.7765</v>
      </c>
      <c r="H18" s="49" cm="1">
        <f t="array" ref="H18">'Financial fund - CASH'!Q16</f>
        <v>8549367772.7527</v>
      </c>
      <c r="I18" s="50" cm="1">
        <f t="array" ref="I18">'Cash flow - CASH FLOW'!B16</f>
        <v>641360918.45044</v>
      </c>
      <c r="J18" s="49"/>
      <c r="K18" s="49" cm="1">
        <f t="array" ref="K18">K17</f>
        <v>3926037000</v>
      </c>
      <c r="L18" s="49" cm="1">
        <f t="array" ref="L18">L17*(1+'Info - danh-muc-2026-03-17 5-1'!$F$36)-'Income - Expense - INCOME'!I16</f>
        <v>78584765543.6189</v>
      </c>
      <c r="M18" s="49" cm="1">
        <f t="array" ref="M18">M17*(1+'Info - danh-muc-2026-03-17 5-1'!$F$36)</f>
        <v>51291220854.0665</v>
      </c>
      <c r="N18" s="49" cm="1">
        <f t="array" ref="N18">N17*(1+'Info - danh-muc-2026-03-17 5-1'!$F$37)</f>
        <v>44136424408.2123</v>
      </c>
      <c r="O18" s="49" cm="1">
        <f t="array" ref="O18">O17</f>
        <v>4138219000</v>
      </c>
      <c r="P18" s="49" cm="1">
        <f t="array" ref="P18">P17</f>
        <v>1515564000</v>
      </c>
      <c r="Q18" s="49" cm="1">
        <f t="array" ref="Q18">Q17*(100%-10%)</f>
        <v>684505657.761867</v>
      </c>
      <c r="R18" s="49" cm="1">
        <f t="array" ref="R18">R17-2035000000*5%</f>
        <v>97850000</v>
      </c>
      <c r="S18" s="51" cm="1">
        <f t="array" ref="S18">S17*(1+'Info - danh-muc-2026-03-17 5-1'!$F$37)</f>
        <v>75190467049.4817</v>
      </c>
    </row>
    <row r="19" ht="22.5" customHeight="1">
      <c r="A19" t="s" s="39">
        <v>91</v>
      </c>
      <c r="B19" s="40" cm="1">
        <f t="array" ref="B19">C19-D19</f>
        <v>380143307105.099</v>
      </c>
      <c r="C19" s="41" cm="1">
        <f t="array" ref="C19">SUM(D19:S19)</f>
        <v>378460029105.099</v>
      </c>
      <c r="D19" s="42" cm="1">
        <f t="array" ref="D19">'Bank - INTEREST &amp; LOAN'!C17</f>
        <v>-1683278000</v>
      </c>
      <c r="E19" s="43" cm="1">
        <f t="array" ref="E19">'Financial fund - CASH'!E17</f>
        <v>2571841006.56339</v>
      </c>
      <c r="F19" s="43" cm="1">
        <f t="array" ref="F19">'Financial fund - CASH'!H17</f>
        <v>11631584471.4437</v>
      </c>
      <c r="G19" s="43" cm="1">
        <f t="array" ref="G19">'Financial fund - CASH'!N17+'Financial fund - CASH'!K17</f>
        <v>68459528281.6031</v>
      </c>
      <c r="H19" s="43" cm="1">
        <f t="array" ref="H19">'Financial fund - CASH'!Q17</f>
        <v>9905529444.287399</v>
      </c>
      <c r="I19" s="44" cm="1">
        <f t="array" ref="I19">'Cash flow - CASH FLOW'!B17</f>
        <v>658263440.3446701</v>
      </c>
      <c r="J19" s="43"/>
      <c r="K19" s="43" cm="1">
        <f t="array" ref="K19">K18</f>
        <v>3926037000</v>
      </c>
      <c r="L19" s="43" cm="1">
        <f t="array" ref="L19">L18*(1+'Info - danh-muc-2026-03-17 5-1'!$F$36)-'Income - Expense - INCOME'!I17</f>
        <v>88014937408.8532</v>
      </c>
      <c r="M19" s="43" cm="1">
        <f t="array" ref="M19">M18*(1+'Info - danh-muc-2026-03-17 5-1'!$F$36)</f>
        <v>57446167356.5545</v>
      </c>
      <c r="N19" s="43" cm="1">
        <f t="array" ref="N19">N18*(1+'Info - danh-muc-2026-03-17 5-1'!$F$37)</f>
        <v>48550066849.0335</v>
      </c>
      <c r="O19" s="43" cm="1">
        <f t="array" ref="O19">O18</f>
        <v>4138219000</v>
      </c>
      <c r="P19" s="43" cm="1">
        <f t="array" ref="P19">P18</f>
        <v>1515564000</v>
      </c>
      <c r="Q19" s="43" cm="1">
        <f t="array" ref="Q19">Q18*(100%-10%)</f>
        <v>616055091.98568</v>
      </c>
      <c r="R19" s="43"/>
      <c r="S19" s="45" cm="1">
        <f t="array" ref="S19">S18*(1+'Info - danh-muc-2026-03-17 5-1'!$F$37)</f>
        <v>82709513754.4299</v>
      </c>
    </row>
    <row r="20" ht="22.5" customHeight="1">
      <c r="A20" t="s" s="39">
        <v>92</v>
      </c>
      <c r="B20" s="46" cm="1">
        <f t="array" ref="B20">C20-D20</f>
        <v>423952821332.982</v>
      </c>
      <c r="C20" s="47" cm="1">
        <f t="array" ref="C20">SUM(D20:S20)</f>
        <v>422269543332.982</v>
      </c>
      <c r="D20" s="48" cm="1">
        <f t="array" ref="D20">'Bank - INTEREST &amp; LOAN'!C18</f>
        <v>-1683278000</v>
      </c>
      <c r="E20" s="49" cm="1">
        <f t="array" ref="E20">'Financial fund - CASH'!E18</f>
        <v>2739010671.99001</v>
      </c>
      <c r="F20" s="49" cm="1">
        <f t="array" ref="F20">'Financial fund - CASH'!H18</f>
        <v>12704296132.2736</v>
      </c>
      <c r="G20" s="49" cm="1">
        <f t="array" ref="G20">'Financial fund - CASH'!N18+'Financial fund - CASH'!K18</f>
        <v>78930367725.17999</v>
      </c>
      <c r="H20" s="49" cm="1">
        <f t="array" ref="H20">'Financial fund - CASH'!Q18</f>
        <v>11467059156.5702</v>
      </c>
      <c r="I20" s="50" cm="1">
        <f t="array" ref="I20">'Cash flow - CASH FLOW'!B18</f>
        <v>675842063.11467</v>
      </c>
      <c r="J20" s="49"/>
      <c r="K20" s="49" cm="1">
        <f t="array" ref="K20">K19</f>
        <v>3926037000</v>
      </c>
      <c r="L20" s="49" cm="1">
        <f t="array" ref="L20">L19*(1+'Info - danh-muc-2026-03-17 5-1'!$F$36)-'Income - Expense - INCOME'!I18</f>
        <v>98576729897.9156</v>
      </c>
      <c r="M20" s="49" cm="1">
        <f t="array" ref="M20">M19*(1+'Info - danh-muc-2026-03-17 5-1'!$F$36)</f>
        <v>64339707439.341</v>
      </c>
      <c r="N20" s="49" cm="1">
        <f t="array" ref="N20">N19*(1+'Info - danh-muc-2026-03-17 5-1'!$F$37)</f>
        <v>53405073533.9369</v>
      </c>
      <c r="O20" s="49" cm="1">
        <f t="array" ref="O20">O19</f>
        <v>4138219000</v>
      </c>
      <c r="P20" s="49" cm="1">
        <f t="array" ref="P20">P19</f>
        <v>1515564000</v>
      </c>
      <c r="Q20" s="49" cm="1">
        <f t="array" ref="Q20">Q19*(100%-10%)</f>
        <v>554449582.787112</v>
      </c>
      <c r="R20" s="49"/>
      <c r="S20" s="51" cm="1">
        <f t="array" ref="S20">S19*(1+'Info - danh-muc-2026-03-17 5-1'!$F$37)</f>
        <v>90980465129.87289</v>
      </c>
    </row>
    <row r="21" ht="22.5" customHeight="1">
      <c r="A21" t="s" s="39">
        <v>93</v>
      </c>
      <c r="B21" s="40" cm="1">
        <f t="array" ref="B21">C21-D21</f>
        <v>473064368300.805</v>
      </c>
      <c r="C21" s="41" cm="1">
        <f t="array" ref="C21">SUM(D21:S21)</f>
        <v>471381090300.805</v>
      </c>
      <c r="D21" s="42" cm="1">
        <f t="array" ref="D21">'Bank - INTEREST &amp; LOAN'!C19</f>
        <v>-1683278000</v>
      </c>
      <c r="E21" s="43" cm="1">
        <f t="array" ref="E21">'Financial fund - CASH'!E19</f>
        <v>2917046365.66936</v>
      </c>
      <c r="F21" s="43" cm="1">
        <f t="array" ref="F21">'Financial fund - CASH'!H19</f>
        <v>13866621708.4882</v>
      </c>
      <c r="G21" s="43" cm="1">
        <f t="array" ref="G21">'Financial fund - CASH'!N19+'Financial fund - CASH'!K19</f>
        <v>90952409556.11189</v>
      </c>
      <c r="H21" s="43" cm="1">
        <f t="array" ref="H21">'Financial fund - CASH'!Q19</f>
        <v>13264839867.314</v>
      </c>
      <c r="I21" s="44" cm="1">
        <f t="array" ref="I21">'Cash flow - CASH FLOW'!B19</f>
        <v>694123830.79547</v>
      </c>
      <c r="J21" s="43"/>
      <c r="K21" s="43" cm="1">
        <f t="array" ref="K21">K20</f>
        <v>3926037000</v>
      </c>
      <c r="L21" s="43" cm="1">
        <f t="array" ref="L21">L20*(1+'Info - danh-muc-2026-03-17 5-1'!$F$36)-'Income - Expense - INCOME'!I19</f>
        <v>110405937485.665</v>
      </c>
      <c r="M21" s="43" cm="1">
        <f t="array" ref="M21">M20*(1+'Info - danh-muc-2026-03-17 5-1'!$F$36)</f>
        <v>72060472332.0619</v>
      </c>
      <c r="N21" s="43" cm="1">
        <f t="array" ref="N21">N20*(1+'Info - danh-muc-2026-03-17 5-1'!$F$37)</f>
        <v>58745580887.3306</v>
      </c>
      <c r="O21" s="43" cm="1">
        <f t="array" ref="O21">O20</f>
        <v>4138219000</v>
      </c>
      <c r="P21" s="43" cm="1">
        <f t="array" ref="P21">P20</f>
        <v>1515564000</v>
      </c>
      <c r="Q21" s="43" cm="1">
        <f t="array" ref="Q21">Q20*(100%-10%)</f>
        <v>499004624.508401</v>
      </c>
      <c r="R21" s="43"/>
      <c r="S21" s="45" cm="1">
        <f t="array" ref="S21">S20*(1+'Info - danh-muc-2026-03-17 5-1'!$F$37)</f>
        <v>100078511642.86</v>
      </c>
    </row>
    <row r="22" ht="22.5" customHeight="1">
      <c r="A22" t="s" s="39">
        <v>94</v>
      </c>
      <c r="B22" s="46" cm="1">
        <f t="array" ref="B22">C22-D22</f>
        <v>528133637255.018</v>
      </c>
      <c r="C22" s="47" cm="1">
        <f t="array" ref="C22">SUM(D22:S22)</f>
        <v>526450359255.018</v>
      </c>
      <c r="D22" s="48" cm="1">
        <f t="array" ref="D22">'Bank - INTEREST &amp; LOAN'!C20</f>
        <v>-1683278000</v>
      </c>
      <c r="E22" s="49" cm="1">
        <f t="array" ref="E22">'Financial fund - CASH'!E20</f>
        <v>3106654379.43787</v>
      </c>
      <c r="F22" s="49" cm="1">
        <f t="array" ref="F22">'Financial fund - CASH'!H20</f>
        <v>15125882192.6191</v>
      </c>
      <c r="G22" s="49" cm="1">
        <f t="array" ref="G22">'Financial fund - CASH'!N20+'Financial fund - CASH'!K20</f>
        <v>104755768784.703</v>
      </c>
      <c r="H22" s="49" cm="1">
        <f t="array" ref="H22">'Financial fund - CASH'!Q20</f>
        <v>15334390087.9525</v>
      </c>
      <c r="I22" s="50" cm="1">
        <f t="array" ref="I22">'Cash flow - CASH FLOW'!B20</f>
        <v>713136869.1835099</v>
      </c>
      <c r="J22" s="49"/>
      <c r="K22" s="49" cm="1">
        <f t="array" ref="K22">K21</f>
        <v>3926037000</v>
      </c>
      <c r="L22" s="49" cm="1">
        <f t="array" ref="L22">L21*(1+'Info - danh-muc-2026-03-17 5-1'!$F$36)-'Income - Expense - INCOME'!I20</f>
        <v>123654649983.945</v>
      </c>
      <c r="M22" s="49" cm="1">
        <f t="array" ref="M22">M21*(1+'Info - danh-muc-2026-03-17 5-1'!$F$36)</f>
        <v>80707729011.9093</v>
      </c>
      <c r="N22" s="49" cm="1">
        <f t="array" ref="N22">N21*(1+'Info - danh-muc-2026-03-17 5-1'!$F$37)</f>
        <v>64620138976.0637</v>
      </c>
      <c r="O22" s="49" cm="1">
        <f t="array" ref="O22">O21</f>
        <v>4138219000</v>
      </c>
      <c r="P22" s="49" cm="1">
        <f t="array" ref="P22">P21</f>
        <v>1515564000</v>
      </c>
      <c r="Q22" s="49" cm="1">
        <f t="array" ref="Q22">Q21*(100%-10%)</f>
        <v>449104162.057561</v>
      </c>
      <c r="R22" s="49"/>
      <c r="S22" s="51" cm="1">
        <f t="array" ref="S22">S21*(1+'Info - danh-muc-2026-03-17 5-1'!$F$37)</f>
        <v>110086362807.146</v>
      </c>
    </row>
    <row r="23" ht="22.6" customHeight="1">
      <c r="A23" t="s" s="52">
        <v>95</v>
      </c>
      <c r="B23" s="53" cm="1">
        <f t="array" ref="B23">C23-D23</f>
        <v>589899891301.116</v>
      </c>
      <c r="C23" s="54" cm="1">
        <f t="array" ref="C23">SUM(D23:S23)</f>
        <v>588216613301.116</v>
      </c>
      <c r="D23" s="55" cm="1">
        <f t="array" ref="D23">'Bank - INTEREST &amp; LOAN'!C21</f>
        <v>-1683278000</v>
      </c>
      <c r="E23" s="56" cm="1">
        <f t="array" ref="E23">'Financial fund - CASH'!E21</f>
        <v>3308586914.10133</v>
      </c>
      <c r="F23" s="56" cm="1">
        <f t="array" ref="F23">'Financial fund - CASH'!H21</f>
        <v>16489990331.7723</v>
      </c>
      <c r="G23" s="56" cm="1">
        <f t="array" ref="G23">'Financial fund - CASH'!N21+'Financial fund - CASH'!K21</f>
        <v>120604814102.295</v>
      </c>
      <c r="H23" s="56" cm="1">
        <f t="array" ref="H23">'Financial fund - CASH'!Q21</f>
        <v>17716559341.1015</v>
      </c>
      <c r="I23" s="57" cm="1">
        <f t="array" ref="I23">'Cash flow - CASH FLOW'!B21</f>
        <v>732910429.10706</v>
      </c>
      <c r="J23" s="56"/>
      <c r="K23" s="56" cm="1">
        <f t="array" ref="K23">K22</f>
        <v>3926037000</v>
      </c>
      <c r="L23" s="56" cm="1">
        <f t="array" ref="L23">L22*(1+'Info - danh-muc-2026-03-17 5-1'!$F$36)-'Income - Expense - INCOME'!I21</f>
        <v>138493207982.018</v>
      </c>
      <c r="M23" s="56" cm="1">
        <f t="array" ref="M23">M22*(1+'Info - danh-muc-2026-03-17 5-1'!$F$36)</f>
        <v>90392656493.33839</v>
      </c>
      <c r="N23" s="56" cm="1">
        <f t="array" ref="N23">N22*(1+'Info - danh-muc-2026-03-17 5-1'!$F$37)</f>
        <v>71082152873.6701</v>
      </c>
      <c r="O23" s="56" cm="1">
        <f t="array" ref="O23">O22</f>
        <v>4138219000</v>
      </c>
      <c r="P23" s="56" cm="1">
        <f t="array" ref="P23">P22</f>
        <v>1515564000</v>
      </c>
      <c r="Q23" s="56" cm="1">
        <f t="array" ref="Q23">Q22*(100%-10%)</f>
        <v>404193745.851805</v>
      </c>
      <c r="R23" s="56"/>
      <c r="S23" s="58" cm="1">
        <f t="array" ref="S23">S22*(1+'Info - danh-muc-2026-03-17 5-1'!$F$37)</f>
        <v>121094999087.861</v>
      </c>
    </row>
    <row r="24" ht="22.35" customHeight="1">
      <c r="A24" s="59"/>
      <c r="B24" s="60"/>
      <c r="C24" s="60"/>
      <c r="D24" s="61"/>
      <c r="E24" s="62"/>
      <c r="F24" s="62"/>
      <c r="G24" s="62"/>
      <c r="H24" s="62"/>
      <c r="I24" s="62"/>
      <c r="J24" s="62"/>
      <c r="K24" s="62"/>
      <c r="L24" s="60"/>
      <c r="M24" s="60"/>
      <c r="N24" s="60"/>
      <c r="O24" s="62"/>
      <c r="P24" s="62"/>
      <c r="Q24" s="60"/>
      <c r="R24" s="62"/>
      <c r="S24" s="60"/>
    </row>
  </sheetData>
  <mergeCells count="11">
    <mergeCell ref="K2:K3"/>
    <mergeCell ref="E2:E3"/>
    <mergeCell ref="D2:D3"/>
    <mergeCell ref="C2:C3"/>
    <mergeCell ref="A2:A3"/>
    <mergeCell ref="B2:B3"/>
    <mergeCell ref="J2:J3"/>
    <mergeCell ref="I2:I3"/>
    <mergeCell ref="F2:F3"/>
    <mergeCell ref="G2:G3"/>
    <mergeCell ref="H2:H3"/>
  </mergeCells>
  <conditionalFormatting sqref="A24:C24 E24:S24">
    <cfRule type="cellIs" dxfId="1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5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8" customHeight="1" outlineLevelRow="0" outlineLevelCol="0"/>
  <cols>
    <col min="1" max="1" width="10.9844" style="63" customWidth="1"/>
    <col min="2" max="2" width="6.35156" style="63" customWidth="1"/>
    <col min="3" max="4" width="13.9219" style="63" customWidth="1"/>
    <col min="5" max="5" width="14.4375" style="63" customWidth="1"/>
    <col min="6" max="6" width="15.1172" style="63" customWidth="1"/>
    <col min="7" max="7" width="13.7266" style="63" customWidth="1"/>
    <col min="8" max="8" width="12.0938" style="63" customWidth="1"/>
    <col min="9" max="9" width="9.11719" style="63" customWidth="1"/>
    <col min="10" max="10" width="11.1016" style="63" customWidth="1"/>
    <col min="11" max="11" width="10.25" style="63" customWidth="1"/>
    <col min="12" max="14" width="11.3359" style="63" customWidth="1"/>
    <col min="15" max="16384" width="16.3516" style="63" customWidth="1"/>
  </cols>
  <sheetData>
    <row r="1" ht="28" customHeight="1">
      <c r="A1" t="s" s="64">
        <v>96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ht="36.35" customHeight="1">
      <c r="A2" t="s" s="65">
        <v>97</v>
      </c>
      <c r="B2" t="s" s="65">
        <v>98</v>
      </c>
      <c r="C2" t="s" s="65">
        <v>99</v>
      </c>
      <c r="D2" t="s" s="65">
        <v>100</v>
      </c>
      <c r="E2" t="s" s="65">
        <v>101</v>
      </c>
      <c r="F2" t="s" s="65">
        <v>102</v>
      </c>
      <c r="G2" s="66">
        <v>2025</v>
      </c>
      <c r="H2" t="s" s="65">
        <v>103</v>
      </c>
      <c r="I2" t="s" s="65">
        <v>104</v>
      </c>
      <c r="J2" t="s" s="67">
        <v>105</v>
      </c>
      <c r="K2" t="s" s="67">
        <v>106</v>
      </c>
      <c r="L2" t="s" s="67">
        <v>107</v>
      </c>
      <c r="M2" t="s" s="68">
        <v>108</v>
      </c>
      <c r="N2" t="s" s="68">
        <v>109</v>
      </c>
    </row>
    <row r="3" ht="22.6" customHeight="1">
      <c r="A3" t="s" s="67">
        <v>12</v>
      </c>
      <c r="B3" s="69"/>
      <c r="C3" s="70" cm="1">
        <f t="array" ref="C3">H3*I3</f>
        <v>326430000</v>
      </c>
      <c r="D3" s="71" cm="1">
        <f t="array" ref="D3">C3-E3</f>
        <v>-19550000</v>
      </c>
      <c r="E3" s="72" cm="1">
        <f t="array" ref="E3">G3+F3</f>
        <v>345980000</v>
      </c>
      <c r="F3" s="73">
        <v>107300000</v>
      </c>
      <c r="G3" s="74">
        <v>238680000</v>
      </c>
      <c r="H3" s="73">
        <v>3900</v>
      </c>
      <c r="I3" s="73">
        <v>83700</v>
      </c>
      <c r="J3" s="75"/>
      <c r="K3" s="75"/>
      <c r="L3" s="75"/>
      <c r="M3" s="74"/>
      <c r="N3" s="74"/>
    </row>
    <row r="4" ht="22.5" customHeight="1">
      <c r="A4" t="s" s="67">
        <v>13</v>
      </c>
      <c r="B4" s="69"/>
      <c r="C4" s="76" cm="1">
        <f t="array" ref="C4">H4*I4</f>
        <v>276000000</v>
      </c>
      <c r="D4" s="77" cm="1">
        <f t="array" ref="D4">C4-E4</f>
        <v>43200000</v>
      </c>
      <c r="E4" s="78" cm="1">
        <f t="array" ref="E4">G4+F4</f>
        <v>232800000</v>
      </c>
      <c r="F4" s="79">
        <v>0</v>
      </c>
      <c r="G4" s="80">
        <v>232800000</v>
      </c>
      <c r="H4" s="79">
        <v>2400</v>
      </c>
      <c r="I4" s="79">
        <v>115000</v>
      </c>
      <c r="J4" s="80"/>
      <c r="K4" s="80"/>
      <c r="L4" s="80"/>
      <c r="M4" s="80"/>
      <c r="N4" s="80"/>
    </row>
    <row r="5" ht="22.5" customHeight="1">
      <c r="A5" t="s" s="67">
        <v>14</v>
      </c>
      <c r="B5" s="69"/>
      <c r="C5" s="70" cm="1">
        <f t="array" ref="C5">H5*I5</f>
        <v>263000000</v>
      </c>
      <c r="D5" s="71" cm="1">
        <f t="array" ref="D5">C5-E5</f>
        <v>10000000</v>
      </c>
      <c r="E5" s="72" cm="1">
        <f t="array" ref="E5">G5+F5</f>
        <v>253000000</v>
      </c>
      <c r="F5" s="73">
        <v>0</v>
      </c>
      <c r="G5" s="81">
        <v>253000000</v>
      </c>
      <c r="H5" s="73">
        <v>10000</v>
      </c>
      <c r="I5" s="73">
        <v>26300</v>
      </c>
      <c r="J5" s="81"/>
      <c r="K5" s="81"/>
      <c r="L5" s="81"/>
      <c r="M5" s="81"/>
      <c r="N5" s="81"/>
    </row>
    <row r="6" ht="22.5" customHeight="1">
      <c r="A6" t="s" s="67">
        <v>15</v>
      </c>
      <c r="B6" s="69"/>
      <c r="C6" s="76" cm="1">
        <f t="array" ref="C6">H6*I6</f>
        <v>246018000</v>
      </c>
      <c r="D6" s="77" cm="1">
        <f t="array" ref="D6">C6-E6</f>
        <v>-43476000</v>
      </c>
      <c r="E6" s="78" cm="1">
        <f t="array" ref="E6">G6+F6</f>
        <v>289494000</v>
      </c>
      <c r="F6" s="79">
        <v>104600000</v>
      </c>
      <c r="G6" s="80">
        <v>184894000</v>
      </c>
      <c r="H6" s="79">
        <v>3130</v>
      </c>
      <c r="I6" s="79">
        <v>78600</v>
      </c>
      <c r="J6" s="80"/>
      <c r="K6" s="80"/>
      <c r="L6" s="80"/>
      <c r="M6" s="80"/>
      <c r="N6" s="80"/>
    </row>
    <row r="7" ht="22.5" customHeight="1">
      <c r="A7" t="s" s="67">
        <v>16</v>
      </c>
      <c r="B7" s="69"/>
      <c r="C7" s="70" cm="1">
        <f t="array" ref="C7">H7*I7</f>
        <v>242250000</v>
      </c>
      <c r="D7" s="71" cm="1">
        <f t="array" ref="D7">C7-E7</f>
        <v>-4050000</v>
      </c>
      <c r="E7" s="72" cm="1">
        <f t="array" ref="E7">G7+F7</f>
        <v>246300000</v>
      </c>
      <c r="F7" s="73">
        <v>49500000</v>
      </c>
      <c r="G7" s="81">
        <v>196800000</v>
      </c>
      <c r="H7" s="73">
        <v>10200</v>
      </c>
      <c r="I7" s="73">
        <v>23750</v>
      </c>
      <c r="J7" s="81"/>
      <c r="K7" s="81"/>
      <c r="L7" s="81"/>
      <c r="M7" s="81"/>
      <c r="N7" s="81"/>
    </row>
    <row r="8" ht="22.5" customHeight="1">
      <c r="A8" t="s" s="67">
        <v>17</v>
      </c>
      <c r="B8" s="69"/>
      <c r="C8" s="76" cm="1">
        <f t="array" ref="C8">H8*I8</f>
        <v>205700000</v>
      </c>
      <c r="D8" s="77" cm="1">
        <f t="array" ref="D8">C8-E8</f>
        <v>4100000</v>
      </c>
      <c r="E8" s="78" cm="1">
        <f t="array" ref="E8">SUM(F8,G8)</f>
        <v>201600000</v>
      </c>
      <c r="F8" s="79">
        <v>98100000</v>
      </c>
      <c r="G8" s="80">
        <v>103500000</v>
      </c>
      <c r="H8" s="79">
        <v>3400</v>
      </c>
      <c r="I8" s="79">
        <v>60500</v>
      </c>
      <c r="J8" s="80"/>
      <c r="K8" s="80"/>
      <c r="L8" s="80"/>
      <c r="M8" s="80"/>
      <c r="N8" s="80"/>
    </row>
    <row r="9" ht="22.5" customHeight="1">
      <c r="A9" t="s" s="67">
        <v>18</v>
      </c>
      <c r="B9" s="69"/>
      <c r="C9" s="70" cm="1">
        <f t="array" ref="C9">H9*I9</f>
        <v>150500000</v>
      </c>
      <c r="D9" s="71" cm="1">
        <f t="array" ref="D9">C9-E9</f>
        <v>-7025000</v>
      </c>
      <c r="E9" s="72" cm="1">
        <f t="array" ref="E9">F9+G9</f>
        <v>157525000</v>
      </c>
      <c r="F9" s="73">
        <v>103900000</v>
      </c>
      <c r="G9" s="81">
        <v>53625000</v>
      </c>
      <c r="H9" s="73">
        <v>4300</v>
      </c>
      <c r="I9" s="73">
        <v>35000</v>
      </c>
      <c r="J9" s="81"/>
      <c r="K9" s="81"/>
      <c r="L9" s="81"/>
      <c r="M9" s="81"/>
      <c r="N9" s="81"/>
    </row>
    <row r="10" ht="22.5" customHeight="1">
      <c r="A10" t="s" s="67">
        <v>8</v>
      </c>
      <c r="B10" s="69"/>
      <c r="C10" s="76" cm="1">
        <f t="array" ref="C10">H10*I10</f>
        <v>153600000</v>
      </c>
      <c r="D10" s="77" cm="1">
        <f t="array" ref="D10">C10-E10</f>
        <v>7600000</v>
      </c>
      <c r="E10" s="78" cm="1">
        <f t="array" ref="E10">F10+G10</f>
        <v>146000000</v>
      </c>
      <c r="F10" s="79">
        <v>103300000</v>
      </c>
      <c r="G10" s="80">
        <v>42700000</v>
      </c>
      <c r="H10" s="79">
        <v>2400</v>
      </c>
      <c r="I10" s="79">
        <v>64000</v>
      </c>
      <c r="J10" s="80"/>
      <c r="K10" s="80"/>
      <c r="L10" s="80"/>
      <c r="M10" s="80"/>
      <c r="N10" s="80"/>
    </row>
    <row r="11" ht="22.5" customHeight="1">
      <c r="A11" t="s" s="67">
        <v>19</v>
      </c>
      <c r="B11" s="69"/>
      <c r="C11" s="70" cm="1">
        <f t="array" ref="C11">H11*I11</f>
        <v>144720000</v>
      </c>
      <c r="D11" s="71" cm="1">
        <f t="array" ref="D11">C11-E11</f>
        <v>1920000</v>
      </c>
      <c r="E11" s="72" cm="1">
        <f t="array" ref="E11">SUM(F11,G11)</f>
        <v>142800000</v>
      </c>
      <c r="F11" s="73">
        <v>50400000</v>
      </c>
      <c r="G11" s="81">
        <v>92400000</v>
      </c>
      <c r="H11" s="73" cm="1">
        <f t="array" ref="H11">3500+1900</f>
        <v>5400</v>
      </c>
      <c r="I11" s="73">
        <v>26800</v>
      </c>
      <c r="J11" s="81"/>
      <c r="K11" s="81"/>
      <c r="L11" s="81"/>
      <c r="M11" s="81"/>
      <c r="N11" s="81"/>
    </row>
    <row r="12" ht="22.5" customHeight="1">
      <c r="A12" t="s" s="67">
        <v>20</v>
      </c>
      <c r="B12" s="69"/>
      <c r="C12" s="76" cm="1">
        <f t="array" ref="C12">H12*I12</f>
        <v>96000000</v>
      </c>
      <c r="D12" s="77" cm="1">
        <f t="array" ref="D12">C12-E12</f>
        <v>-6750000</v>
      </c>
      <c r="E12" s="78" cm="1">
        <f t="array" ref="E12">SUM(F12,G12)</f>
        <v>102750000</v>
      </c>
      <c r="F12" s="79">
        <v>0</v>
      </c>
      <c r="G12" s="80">
        <v>102750000</v>
      </c>
      <c r="H12" s="79">
        <v>1500</v>
      </c>
      <c r="I12" s="79">
        <v>64000</v>
      </c>
      <c r="J12" s="80"/>
      <c r="K12" s="80"/>
      <c r="L12" s="80"/>
      <c r="M12" s="80"/>
      <c r="N12" s="80"/>
    </row>
    <row r="13" ht="22.5" customHeight="1">
      <c r="A13" t="s" s="67">
        <v>21</v>
      </c>
      <c r="B13" s="69"/>
      <c r="C13" s="70" cm="1">
        <f t="array" ref="C13">H13*I13</f>
        <v>99000000</v>
      </c>
      <c r="D13" s="71" cm="1">
        <f t="array" ref="D13">C13-E13</f>
        <v>-3360000</v>
      </c>
      <c r="E13" s="72" cm="1">
        <f t="array" ref="E13">F13+G13</f>
        <v>102360000</v>
      </c>
      <c r="F13" s="73">
        <v>0</v>
      </c>
      <c r="G13" s="81">
        <v>102360000</v>
      </c>
      <c r="H13" s="73">
        <v>1200</v>
      </c>
      <c r="I13" s="73">
        <v>82500</v>
      </c>
      <c r="J13" s="81"/>
      <c r="K13" s="81"/>
      <c r="L13" s="81"/>
      <c r="M13" s="81"/>
      <c r="N13" s="81"/>
    </row>
    <row r="14" ht="22.5" customHeight="1">
      <c r="A14" t="s" s="67">
        <v>22</v>
      </c>
      <c r="B14" s="69"/>
      <c r="C14" s="76" cm="1">
        <f t="array" ref="C14">H14*I14</f>
        <v>90900000</v>
      </c>
      <c r="D14" s="77" cm="1">
        <f t="array" ref="D14">C14-E14</f>
        <v>-14500000</v>
      </c>
      <c r="E14" s="78" cm="1">
        <f t="array" ref="E14">F14+G14</f>
        <v>105400000</v>
      </c>
      <c r="F14" s="79">
        <v>105400000</v>
      </c>
      <c r="G14" s="80">
        <v>0</v>
      </c>
      <c r="H14" s="79">
        <v>3000</v>
      </c>
      <c r="I14" s="79">
        <v>30300</v>
      </c>
      <c r="J14" s="80"/>
      <c r="K14" s="80"/>
      <c r="L14" s="80"/>
      <c r="M14" s="80"/>
      <c r="N14" s="80"/>
    </row>
    <row r="15" ht="22.5" customHeight="1">
      <c r="A15" t="s" s="67">
        <v>23</v>
      </c>
      <c r="B15" s="69"/>
      <c r="C15" s="70" cm="1">
        <f t="array" ref="C15">H15*I15</f>
        <v>82020000</v>
      </c>
      <c r="D15" s="71" cm="1">
        <f t="array" ref="D15">C15-E15</f>
        <v>-17180000</v>
      </c>
      <c r="E15" s="72" cm="1">
        <f t="array" ref="E15">F15+G15</f>
        <v>99200000</v>
      </c>
      <c r="F15" s="73">
        <v>29200000</v>
      </c>
      <c r="G15" s="81">
        <v>70000000</v>
      </c>
      <c r="H15" s="73">
        <v>600</v>
      </c>
      <c r="I15" s="73">
        <v>136700</v>
      </c>
      <c r="J15" s="81"/>
      <c r="K15" s="81"/>
      <c r="L15" s="81"/>
      <c r="M15" s="81"/>
      <c r="N15" s="81"/>
    </row>
    <row r="16" ht="22.5" customHeight="1">
      <c r="A16" t="s" s="67">
        <v>24</v>
      </c>
      <c r="B16" s="69"/>
      <c r="C16" s="76" cm="1">
        <f t="array" ref="C16">H16*I16</f>
        <v>47600000</v>
      </c>
      <c r="D16" s="77" cm="1">
        <f t="array" ref="D16">C16-E16</f>
        <v>-4900000</v>
      </c>
      <c r="E16" s="78" cm="1">
        <f t="array" ref="E16">F16+G16</f>
        <v>52500000</v>
      </c>
      <c r="F16" s="79">
        <v>52500000</v>
      </c>
      <c r="G16" s="80">
        <v>0</v>
      </c>
      <c r="H16" s="79">
        <v>1700</v>
      </c>
      <c r="I16" s="79">
        <v>28000</v>
      </c>
      <c r="J16" s="80"/>
      <c r="K16" s="80"/>
      <c r="L16" s="80"/>
      <c r="M16" s="80"/>
      <c r="N16" s="80"/>
    </row>
    <row r="17" ht="22.5" customHeight="1">
      <c r="A17" t="s" s="82">
        <v>110</v>
      </c>
      <c r="B17" t="s" s="83">
        <v>111</v>
      </c>
      <c r="C17" s="84" cm="1">
        <f t="array" ref="C17">SUM(J17:L17)</f>
        <v>312000000</v>
      </c>
      <c r="D17" s="85" cm="1">
        <f t="array" ref="D17">C17-E17</f>
        <v>-44570000</v>
      </c>
      <c r="E17" s="86" cm="1">
        <f t="array" ref="E17">G17+F17</f>
        <v>356570000</v>
      </c>
      <c r="F17" s="87">
        <v>0</v>
      </c>
      <c r="G17" s="49">
        <v>356570000</v>
      </c>
      <c r="H17" s="88"/>
      <c r="I17" s="89"/>
      <c r="J17" s="49">
        <v>312000000</v>
      </c>
      <c r="K17" s="49"/>
      <c r="L17" s="51"/>
      <c r="M17" s="81"/>
      <c r="N17" s="81"/>
    </row>
    <row r="18" ht="22.5" customHeight="1">
      <c r="A18" t="s" s="82">
        <v>112</v>
      </c>
      <c r="B18" t="s" s="83">
        <v>113</v>
      </c>
      <c r="C18" s="90" cm="1">
        <f t="array" ref="C18">SUM(J18:L18)</f>
        <v>155579000</v>
      </c>
      <c r="D18" s="91" cm="1">
        <f t="array" ref="D18">C18-E18</f>
        <v>11001000</v>
      </c>
      <c r="E18" s="92" cm="1">
        <f t="array" ref="E18">G18+F18</f>
        <v>144578000</v>
      </c>
      <c r="F18" s="93">
        <v>30000000</v>
      </c>
      <c r="G18" s="43">
        <v>114578000</v>
      </c>
      <c r="H18" s="94"/>
      <c r="I18" s="95"/>
      <c r="J18" s="43">
        <v>107000000</v>
      </c>
      <c r="K18" s="43"/>
      <c r="L18" s="45">
        <v>48579000</v>
      </c>
      <c r="M18" s="80"/>
      <c r="N18" s="80"/>
    </row>
    <row r="19" ht="22.5" customHeight="1">
      <c r="A19" t="s" s="82">
        <v>114</v>
      </c>
      <c r="B19" t="s" s="83">
        <v>113</v>
      </c>
      <c r="C19" s="84" cm="1">
        <f t="array" ref="C19">SUM(J19:L19)</f>
        <v>153000000</v>
      </c>
      <c r="D19" s="85" cm="1">
        <f t="array" ref="D19">C19-E19</f>
        <v>8442000</v>
      </c>
      <c r="E19" s="86" cm="1">
        <f t="array" ref="E19">G19+F19</f>
        <v>144558000</v>
      </c>
      <c r="F19" s="87">
        <v>30000000</v>
      </c>
      <c r="G19" s="49">
        <v>114558000</v>
      </c>
      <c r="H19" s="88"/>
      <c r="I19" s="89"/>
      <c r="J19" s="49">
        <v>153000000</v>
      </c>
      <c r="K19" s="49"/>
      <c r="L19" s="51"/>
      <c r="M19" s="81"/>
      <c r="N19" s="81"/>
    </row>
    <row r="20" ht="22.5" customHeight="1">
      <c r="A20" t="s" s="82">
        <v>115</v>
      </c>
      <c r="B20" t="s" s="83">
        <v>113</v>
      </c>
      <c r="C20" s="90" cm="1">
        <f t="array" ref="C20">SUM(J20:L20)</f>
        <v>195486000</v>
      </c>
      <c r="D20" s="91" cm="1">
        <f t="array" ref="D20">C20-E20</f>
        <v>57673000</v>
      </c>
      <c r="E20" s="92" cm="1">
        <f t="array" ref="E20">G20+F20</f>
        <v>137813000</v>
      </c>
      <c r="F20" s="93">
        <v>30000000</v>
      </c>
      <c r="G20" s="43">
        <v>107813000</v>
      </c>
      <c r="H20" s="94"/>
      <c r="I20" s="95"/>
      <c r="J20" s="43">
        <v>118000000</v>
      </c>
      <c r="K20" s="43">
        <v>77486000</v>
      </c>
      <c r="L20" s="45"/>
      <c r="M20" s="80"/>
      <c r="N20" s="80"/>
    </row>
    <row r="21" ht="22.5" customHeight="1">
      <c r="A21" t="s" s="82">
        <v>116</v>
      </c>
      <c r="B21" t="s" s="83">
        <v>113</v>
      </c>
      <c r="C21" s="84" cm="1">
        <f t="array" ref="C21">SUM(J21:L21)</f>
        <v>117258000</v>
      </c>
      <c r="D21" s="85" cm="1">
        <f t="array" ref="D21">C21-E21</f>
        <v>6897000</v>
      </c>
      <c r="E21" s="86" cm="1">
        <f t="array" ref="E21">G21+F21</f>
        <v>110361000</v>
      </c>
      <c r="F21" s="87">
        <v>30000000</v>
      </c>
      <c r="G21" s="49">
        <v>80361000</v>
      </c>
      <c r="H21" s="88"/>
      <c r="I21" s="89"/>
      <c r="J21" s="49">
        <v>30000000</v>
      </c>
      <c r="K21" s="49">
        <v>37446000</v>
      </c>
      <c r="L21" s="51">
        <v>49812000</v>
      </c>
      <c r="M21" s="81"/>
      <c r="N21" s="81"/>
    </row>
    <row r="22" ht="22.5" customHeight="1">
      <c r="A22" t="s" s="82">
        <v>117</v>
      </c>
      <c r="B22" t="s" s="83">
        <v>111</v>
      </c>
      <c r="C22" s="90" cm="1">
        <f t="array" ref="C22">SUM(J22:L22)</f>
        <v>69000000</v>
      </c>
      <c r="D22" s="91" cm="1">
        <f t="array" ref="D22">C22-E22</f>
        <v>844000</v>
      </c>
      <c r="E22" s="92" cm="1">
        <f t="array" ref="E22">G22+F22</f>
        <v>68156000</v>
      </c>
      <c r="F22" s="93">
        <v>0</v>
      </c>
      <c r="G22" s="43">
        <v>68156000</v>
      </c>
      <c r="H22" s="94"/>
      <c r="I22" s="95"/>
      <c r="J22" s="43">
        <v>69000000</v>
      </c>
      <c r="K22" s="43"/>
      <c r="L22" s="45"/>
      <c r="M22" s="80"/>
      <c r="N22" s="80"/>
    </row>
    <row r="23" ht="22.5" customHeight="1">
      <c r="A23" t="s" s="82">
        <v>118</v>
      </c>
      <c r="B23" t="s" s="83">
        <v>113</v>
      </c>
      <c r="C23" s="84" cm="1">
        <f t="array" ref="C23">SUM(J23:L23)</f>
        <v>41000000</v>
      </c>
      <c r="D23" s="85" cm="1">
        <f t="array" ref="D23">C23-E23</f>
        <v>1050000</v>
      </c>
      <c r="E23" s="86" cm="1">
        <f t="array" ref="E23">G23+F23</f>
        <v>39950000</v>
      </c>
      <c r="F23" s="87">
        <v>30000000</v>
      </c>
      <c r="G23" s="49">
        <v>9950000</v>
      </c>
      <c r="H23" s="88"/>
      <c r="I23" s="89"/>
      <c r="J23" s="49">
        <v>41000000</v>
      </c>
      <c r="K23" s="49"/>
      <c r="L23" s="51"/>
      <c r="M23" s="81"/>
      <c r="N23" s="81"/>
    </row>
    <row r="24" ht="22.5" customHeight="1">
      <c r="A24" t="s" s="82">
        <v>119</v>
      </c>
      <c r="B24" t="s" s="83">
        <v>113</v>
      </c>
      <c r="C24" s="90" cm="1">
        <f t="array" ref="C24">SUM(J24:L24)</f>
        <v>15000000</v>
      </c>
      <c r="D24" s="91" cm="1">
        <f t="array" ref="D24">C24-E24</f>
        <v>1147000</v>
      </c>
      <c r="E24" s="92" cm="1">
        <f t="array" ref="E24">G24+F24</f>
        <v>13853000</v>
      </c>
      <c r="F24" s="93">
        <v>0</v>
      </c>
      <c r="G24" s="43">
        <v>13853000</v>
      </c>
      <c r="H24" s="94"/>
      <c r="I24" s="95"/>
      <c r="J24" s="96">
        <v>15000000</v>
      </c>
      <c r="K24" s="96"/>
      <c r="L24" s="97"/>
      <c r="M24" s="80"/>
      <c r="N24" s="80"/>
    </row>
    <row r="25" ht="22.5" customHeight="1">
      <c r="A25" t="s" s="82">
        <v>25</v>
      </c>
      <c r="B25" s="98"/>
      <c r="C25" s="84" cm="1">
        <f t="array" ref="C25">H25*I25</f>
        <v>177219488.173</v>
      </c>
      <c r="D25" s="85" cm="1">
        <f t="array" ref="D25">C25-E25</f>
        <v>-8295424.827</v>
      </c>
      <c r="E25" s="86" cm="1">
        <f t="array" ref="E25">G25+F25</f>
        <v>185514913</v>
      </c>
      <c r="F25" s="87">
        <v>30601513</v>
      </c>
      <c r="G25" s="99">
        <v>154913400</v>
      </c>
      <c r="H25" s="100" cm="1">
        <f t="array" ref="H25">SUMIF('Info - danh-muc-2026-03-17 5-1'!$A$3:$A$33,$A25,'Info - danh-muc-2026-03-17 5-1'!$C$3:$C$33)</f>
        <v>0.091</v>
      </c>
      <c r="I25" s="87" cm="1">
        <f t="array" ref="I25">SUMIF('Info - danh-muc-2026-03-17 5-1'!$A$3:$A$33,$A25,'Info - danh-muc-2026-03-17 5-1'!$D$3:$D$33)</f>
        <v>1947466903</v>
      </c>
      <c r="J25" s="87"/>
      <c r="K25" s="87"/>
      <c r="L25" s="87"/>
      <c r="M25" s="101">
        <v>6625.57</v>
      </c>
      <c r="N25" s="102"/>
    </row>
    <row r="26" ht="22.5" customHeight="1">
      <c r="A26" t="s" s="82">
        <v>28</v>
      </c>
      <c r="B26" s="98"/>
      <c r="C26" s="90" cm="1">
        <f t="array" ref="C26">H26*I26</f>
        <v>117167871.744</v>
      </c>
      <c r="D26" s="91" cm="1">
        <f t="array" ref="D26">C26-E26</f>
        <v>8071671.744</v>
      </c>
      <c r="E26" s="92" cm="1">
        <f t="array" ref="E26">G26+F26</f>
        <v>109096200</v>
      </c>
      <c r="F26" s="93">
        <v>0</v>
      </c>
      <c r="G26" s="99">
        <v>109096200</v>
      </c>
      <c r="H26" s="103" cm="1">
        <f t="array" ref="H26">SUMIF('Info - danh-muc-2026-03-17 5-1'!$A$3:$A$33,$A26,'Info - danh-muc-2026-03-17 5-1'!$C$3:$C$33)</f>
        <v>0.896</v>
      </c>
      <c r="I26" s="93" cm="1">
        <f t="array" ref="I26">SUMIF('Info - danh-muc-2026-03-17 5-1'!$A$3:$A$33,$A26,'Info - danh-muc-2026-03-17 5-1'!$D$3:$D$33)</f>
        <v>130767714</v>
      </c>
      <c r="J26" s="93"/>
      <c r="K26" s="93"/>
      <c r="L26" s="93"/>
      <c r="M26" s="101">
        <v>4459</v>
      </c>
      <c r="N26" s="102">
        <v>244</v>
      </c>
    </row>
    <row r="27" ht="22.5" customHeight="1">
      <c r="A27" t="s" s="82">
        <v>27</v>
      </c>
      <c r="B27" s="98"/>
      <c r="C27" s="84" cm="1">
        <f t="array" ref="C27">H27*I27</f>
        <v>51710623.974</v>
      </c>
      <c r="D27" s="85" cm="1">
        <f t="array" ref="D27">C27-E27</f>
        <v>-13143676.026</v>
      </c>
      <c r="E27" s="86" cm="1">
        <f t="array" ref="E27">G27+F27</f>
        <v>64854300</v>
      </c>
      <c r="F27" s="87">
        <v>0</v>
      </c>
      <c r="G27" s="99">
        <v>64854300</v>
      </c>
      <c r="H27" s="100" cm="1">
        <f t="array" ref="H27">SUMIF('Info - danh-muc-2026-03-17 5-1'!$A$3:$A$33,$A27,'Info - danh-muc-2026-03-17 5-1'!$C$3:$C$33)</f>
        <v>0.846</v>
      </c>
      <c r="I27" s="87" cm="1">
        <f t="array" ref="I27">SUMIF('Info - danh-muc-2026-03-17 5-1'!$A$3:$A$33,$A27,'Info - danh-muc-2026-03-17 5-1'!$D$3:$D$33)</f>
        <v>61123669</v>
      </c>
      <c r="J27" s="87"/>
      <c r="K27" s="87"/>
      <c r="L27" s="87"/>
      <c r="M27" s="101" cm="1">
        <f t="array" ref="M27">1070+524</f>
        <v>1594</v>
      </c>
      <c r="N27" s="102">
        <v>49</v>
      </c>
    </row>
    <row r="28" ht="22.5" customHeight="1">
      <c r="A28" t="s" s="82">
        <v>30</v>
      </c>
      <c r="B28" s="98"/>
      <c r="C28" s="90" cm="1">
        <f t="array" ref="C28">H28*I28</f>
        <v>10659160.044</v>
      </c>
      <c r="D28" s="91" cm="1">
        <f t="array" ref="D28">C28-E28</f>
        <v>-3705439.956</v>
      </c>
      <c r="E28" s="92" cm="1">
        <f t="array" ref="E28">G28+F28</f>
        <v>14364600</v>
      </c>
      <c r="F28" s="93">
        <v>0</v>
      </c>
      <c r="G28" s="99">
        <v>14364600</v>
      </c>
      <c r="H28" s="103" cm="1">
        <f t="array" ref="H28">SUMIF('Info - danh-muc-2026-03-17 5-1'!$A$3:$A$33,$A28,'Info - danh-muc-2026-03-17 5-1'!$C$3:$C$33)</f>
        <v>4.302</v>
      </c>
      <c r="I28" s="93" cm="1">
        <f t="array" ref="I28">SUMIF('Info - danh-muc-2026-03-17 5-1'!$A$3:$A$33,$A28,'Info - danh-muc-2026-03-17 5-1'!$D$3:$D$33)</f>
        <v>2477722</v>
      </c>
      <c r="J28" s="93"/>
      <c r="K28" s="93"/>
      <c r="L28" s="93"/>
      <c r="M28" s="101"/>
      <c r="N28" s="102">
        <v>337</v>
      </c>
    </row>
    <row r="29" ht="22.5" customHeight="1">
      <c r="A29" t="s" s="82">
        <v>31</v>
      </c>
      <c r="B29" s="98"/>
      <c r="C29" s="84" cm="1">
        <f t="array" ref="C29">H29*I29</f>
        <v>9664368.794</v>
      </c>
      <c r="D29" s="85" cm="1">
        <f t="array" ref="D29">C29-E29</f>
        <v>-2430731.206</v>
      </c>
      <c r="E29" s="86" cm="1">
        <f t="array" ref="E29">G29+F29</f>
        <v>12095100</v>
      </c>
      <c r="F29" s="87">
        <v>0</v>
      </c>
      <c r="G29" s="99">
        <v>12095100</v>
      </c>
      <c r="H29" s="100" cm="1">
        <f t="array" ref="H29">SUMIF('Info - danh-muc-2026-03-17 5-1'!$A$3:$A$33,$A29,'Info - danh-muc-2026-03-17 5-1'!$C$3:$C$33)</f>
        <v>242.318</v>
      </c>
      <c r="I29" s="87" cm="1">
        <f t="array" ref="I29">SUMIF('Info - danh-muc-2026-03-17 5-1'!$A$3:$A$33,$A29,'Info - danh-muc-2026-03-17 5-1'!$D$3:$D$33)</f>
        <v>39883</v>
      </c>
      <c r="J29" s="87"/>
      <c r="K29" s="87"/>
      <c r="L29" s="87"/>
      <c r="M29" s="101"/>
      <c r="N29" s="102">
        <v>329</v>
      </c>
    </row>
    <row r="30" ht="22.5" customHeight="1">
      <c r="A30" t="s" s="82">
        <v>29</v>
      </c>
      <c r="B30" s="98"/>
      <c r="C30" s="90" cm="1">
        <f t="array" ref="C30">H30*I30</f>
        <v>8223929.04</v>
      </c>
      <c r="D30" s="91" cm="1">
        <f t="array" ref="D30">C30-E30</f>
        <v>-2482770.96</v>
      </c>
      <c r="E30" s="92" cm="1">
        <f t="array" ref="E30">G30+F30</f>
        <v>10706700</v>
      </c>
      <c r="F30" s="93">
        <v>0</v>
      </c>
      <c r="G30" s="99">
        <v>10706700</v>
      </c>
      <c r="H30" s="103" cm="1">
        <f t="array" ref="H30">SUMIF('Info - danh-muc-2026-03-17 5-1'!$A$3:$A$33,$A30,'Info - danh-muc-2026-03-17 5-1'!$C$3:$C$33)</f>
        <v>0.464</v>
      </c>
      <c r="I30" s="93" cm="1">
        <f t="array" ref="I30">SUMIF('Info - danh-muc-2026-03-17 5-1'!$A$3:$A$33,$A30,'Info - danh-muc-2026-03-17 5-1'!$D$3:$D$33)</f>
        <v>17723985</v>
      </c>
      <c r="J30" s="93"/>
      <c r="K30" s="93"/>
      <c r="L30" s="93"/>
      <c r="M30" s="101"/>
      <c r="N30" s="102">
        <v>280</v>
      </c>
    </row>
    <row r="31" ht="22.5" customHeight="1">
      <c r="A31" t="s" s="82">
        <v>32</v>
      </c>
      <c r="B31" s="98"/>
      <c r="C31" s="84" cm="1">
        <f t="array" ref="C31">H31*I31</f>
        <v>7826400.986</v>
      </c>
      <c r="D31" s="85" cm="1">
        <f t="array" ref="D31">C31-E31</f>
        <v>-1892399.014</v>
      </c>
      <c r="E31" s="86" cm="1">
        <f t="array" ref="E31">G31+F31</f>
        <v>9718800</v>
      </c>
      <c r="F31" s="87">
        <v>0</v>
      </c>
      <c r="G31" s="99">
        <v>9718800</v>
      </c>
      <c r="H31" s="100" cm="1">
        <f t="array" ref="H31">SUMIF('Info - danh-muc-2026-03-17 5-1'!$A$3:$A$33,$A31,'Info - danh-muc-2026-03-17 5-1'!$C$3:$C$33)</f>
        <v>29.074</v>
      </c>
      <c r="I31" s="87" cm="1">
        <f t="array" ref="I31">SUMIF('Info - danh-muc-2026-03-17 5-1'!$A$3:$A$33,$A31,'Info - danh-muc-2026-03-17 5-1'!$D$3:$D$33)</f>
        <v>269189</v>
      </c>
      <c r="J31" s="87"/>
      <c r="K31" s="87"/>
      <c r="L31" s="87"/>
      <c r="M31" s="101"/>
      <c r="N31" s="102">
        <v>256</v>
      </c>
    </row>
    <row r="32" ht="22.5" customHeight="1">
      <c r="A32" t="s" s="82">
        <v>33</v>
      </c>
      <c r="B32" s="98"/>
      <c r="C32" s="90" cm="1">
        <f t="array" ref="C32">H32*I32</f>
        <v>4971301.87172</v>
      </c>
      <c r="D32" s="91" cm="1">
        <f t="array" ref="D32">C32-E32</f>
        <v>-1116298.12828</v>
      </c>
      <c r="E32" s="92" cm="1">
        <f t="array" ref="E32">G32+F32</f>
        <v>6087600</v>
      </c>
      <c r="F32" s="93">
        <v>0</v>
      </c>
      <c r="G32" s="99">
        <v>6087600</v>
      </c>
      <c r="H32" s="103" cm="1">
        <f t="array" ref="H32">SUMIF('Info - danh-muc-2026-03-17 5-1'!$A$3:$A$33,$A32,'Info - danh-muc-2026-03-17 5-1'!$C$3:$C$33)</f>
        <v>651.452</v>
      </c>
      <c r="I32" s="93" cm="1">
        <f t="array" ref="I32">SUMIF('Info - danh-muc-2026-03-17 5-1'!$A$3:$A$33,$A32,'Info - danh-muc-2026-03-17 5-1'!$D$3:$D$33)</f>
        <v>7631.11</v>
      </c>
      <c r="J32" s="93"/>
      <c r="K32" s="93"/>
      <c r="L32" s="93"/>
      <c r="M32" s="101"/>
      <c r="N32" s="102">
        <v>170</v>
      </c>
    </row>
    <row r="33" ht="22.5" customHeight="1">
      <c r="A33" t="s" s="82">
        <v>35</v>
      </c>
      <c r="B33" s="98"/>
      <c r="C33" s="84" cm="1">
        <f t="array" ref="C33">H33*I33</f>
        <v>4312200.301</v>
      </c>
      <c r="D33" s="85" cm="1">
        <f t="array" ref="D33">C33-E33</f>
        <v>-1214699.699</v>
      </c>
      <c r="E33" s="86" cm="1">
        <f t="array" ref="E33">G33+F33</f>
        <v>5526900</v>
      </c>
      <c r="F33" s="87">
        <v>0</v>
      </c>
      <c r="G33" s="99">
        <v>5526900</v>
      </c>
      <c r="H33" s="100" cm="1">
        <f t="array" ref="H33">SUMIF('Info - danh-muc-2026-03-17 5-1'!$A$3:$A$33,$A33,'Info - danh-muc-2026-03-17 5-1'!$C$3:$C$33)</f>
        <v>16.717</v>
      </c>
      <c r="I33" s="87" cm="1">
        <f t="array" ref="I33">SUMIF('Info - danh-muc-2026-03-17 5-1'!$A$3:$A$33,$A33,'Info - danh-muc-2026-03-17 5-1'!$D$3:$D$33)</f>
        <v>257953</v>
      </c>
      <c r="J33" s="87"/>
      <c r="K33" s="87"/>
      <c r="L33" s="87"/>
      <c r="M33" s="101"/>
      <c r="N33" s="102">
        <v>140</v>
      </c>
    </row>
    <row r="34" ht="22.5" customHeight="1">
      <c r="A34" t="s" s="82">
        <v>34</v>
      </c>
      <c r="B34" s="98"/>
      <c r="C34" s="90" cm="1">
        <f t="array" ref="C34">H34*I34</f>
        <v>2766534</v>
      </c>
      <c r="D34" s="91" cm="1">
        <f t="array" ref="D34">C34-E34</f>
        <v>-303966</v>
      </c>
      <c r="E34" s="92" cm="1">
        <f t="array" ref="E34">G34+F34</f>
        <v>3070500</v>
      </c>
      <c r="F34" s="93">
        <v>0</v>
      </c>
      <c r="G34" s="99">
        <v>3070500</v>
      </c>
      <c r="H34" s="103" cm="1">
        <f t="array" ref="H34">SUMIF('Info - danh-muc-2026-03-17 5-1'!$A$3:$A$33,$A34,'Info - danh-muc-2026-03-17 5-1'!$C$3:$C$33)</f>
        <v>64.33799999999999</v>
      </c>
      <c r="I34" s="93" cm="1">
        <f t="array" ref="I34">SUMIF('Info - danh-muc-2026-03-17 5-1'!$A$3:$A$33,$A34,'Info - danh-muc-2026-03-17 5-1'!$D$3:$D$33)</f>
        <v>43000</v>
      </c>
      <c r="J34" s="93"/>
      <c r="K34" s="93"/>
      <c r="L34" s="93"/>
      <c r="M34" s="101"/>
      <c r="N34" s="102">
        <v>81</v>
      </c>
    </row>
    <row r="35" ht="22.25" customHeight="1">
      <c r="A35" t="s" s="82">
        <v>120</v>
      </c>
      <c r="B35" s="98"/>
      <c r="C35" s="84" cm="1">
        <f t="array" ref="C35">H35*I35</f>
        <v>0</v>
      </c>
      <c r="D35" s="85" cm="1">
        <f t="array" ref="D35">C35-E35</f>
        <v>-560700</v>
      </c>
      <c r="E35" s="86" cm="1">
        <f t="array" ref="E35">G35+F35</f>
        <v>560700</v>
      </c>
      <c r="F35" s="87">
        <v>0</v>
      </c>
      <c r="G35" s="104">
        <v>560700</v>
      </c>
      <c r="H35" s="100" cm="1">
        <f t="array" ref="H35">SUMIF('Info - danh-muc-2026-03-17 5-1'!$A$3:$A$33,$A35,'Info - danh-muc-2026-03-17 5-1'!$C$3:$C$33)</f>
        <v>0</v>
      </c>
      <c r="I35" s="87" cm="1">
        <f t="array" ref="I35">SUMIF('Info - danh-muc-2026-03-17 5-1'!$A$3:$A$33,$A35,'Info - danh-muc-2026-03-17 5-1'!$D$3:$D$33)</f>
        <v>0</v>
      </c>
      <c r="J35" s="87"/>
      <c r="K35" s="87"/>
      <c r="L35" s="87"/>
      <c r="M35" s="105">
        <v>13</v>
      </c>
      <c r="N35" s="106">
        <v>0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16.3516" style="107" customWidth="1"/>
    <col min="2" max="2" width="13.9219" style="107" customWidth="1"/>
    <col min="3" max="3" width="15.1719" style="107" customWidth="1"/>
    <col min="4" max="4" width="14.1719" style="107" customWidth="1"/>
    <col min="5" max="5" width="14.6484" style="107" customWidth="1"/>
    <col min="6" max="16384" width="16.3516" style="107" customWidth="1"/>
  </cols>
  <sheetData>
    <row r="1" ht="30" customHeight="1">
      <c r="A1" t="s" s="108">
        <v>121</v>
      </c>
      <c r="B1" s="108"/>
      <c r="C1" s="108"/>
      <c r="D1" s="108"/>
      <c r="E1" s="108"/>
    </row>
    <row r="2" ht="20.5" customHeight="1">
      <c r="A2" s="109"/>
      <c r="B2" t="s" s="110">
        <v>122</v>
      </c>
      <c r="C2" s="111">
        <v>2024</v>
      </c>
      <c r="D2" t="s" s="110">
        <v>123</v>
      </c>
      <c r="E2" s="109"/>
    </row>
    <row r="3" ht="22.5" customHeight="1">
      <c r="A3" t="s" s="112">
        <v>124</v>
      </c>
      <c r="B3" s="113" cm="1">
        <f t="array" ref="B3">SUM(B4:B5)</f>
        <v>200000</v>
      </c>
      <c r="C3" s="114" cm="1">
        <f t="array" ref="C3">'Financial fund - CASH'!L3</f>
        <v>1061810500</v>
      </c>
      <c r="D3" s="114" cm="1">
        <f t="array" ref="D3">C3-B3</f>
        <v>1061610500</v>
      </c>
      <c r="E3" s="115"/>
    </row>
    <row r="4" ht="22" customHeight="1">
      <c r="A4" t="s" s="116">
        <v>125</v>
      </c>
      <c r="B4" s="117">
        <v>200000</v>
      </c>
      <c r="C4" s="118"/>
      <c r="D4" s="119"/>
      <c r="E4" s="119"/>
    </row>
    <row r="5" ht="22" customHeight="1">
      <c r="A5" t="s" s="116">
        <v>106</v>
      </c>
      <c r="B5" s="120">
        <v>0</v>
      </c>
      <c r="C5" s="121"/>
      <c r="D5" s="122"/>
      <c r="E5" s="122"/>
    </row>
    <row r="6" ht="22" customHeight="1">
      <c r="A6" t="s" s="123">
        <v>53</v>
      </c>
      <c r="B6" s="124" cm="1">
        <f t="array" ref="B6">SUM(B7:B9)</f>
      </c>
      <c r="C6" s="125" cm="1">
        <f t="array" ref="C6">SUM(C7:C9)</f>
      </c>
      <c r="D6" s="126" cm="1">
        <f t="array" ref="D6">C6-B6</f>
      </c>
      <c r="E6" s="126"/>
    </row>
    <row r="7" ht="22" customHeight="1">
      <c r="A7" t="s" s="116">
        <v>126</v>
      </c>
      <c r="B7" s="120" cm="1">
        <f t="array" ref="B7">500000</f>
        <v>500000</v>
      </c>
      <c r="C7" s="121" cm="1">
        <f t="array" ref="C7">#REF!</f>
      </c>
      <c r="D7" s="122" cm="1">
        <f t="array" ref="D7">C7-B7</f>
      </c>
      <c r="E7" s="122"/>
    </row>
    <row r="8" ht="22" customHeight="1">
      <c r="A8" t="s" s="116">
        <v>127</v>
      </c>
      <c r="B8" s="117">
        <v>0</v>
      </c>
      <c r="C8" s="118" cm="1">
        <f t="array" ref="C8">#REF!</f>
      </c>
      <c r="D8" s="119" cm="1">
        <f t="array" ref="D8">C8-B8</f>
      </c>
      <c r="E8" s="119"/>
    </row>
    <row r="9" ht="22.5" customHeight="1">
      <c r="A9" t="s" s="127">
        <v>128</v>
      </c>
      <c r="B9" s="128" cm="1">
        <f t="array" ref="B9">#REF!+#REF!</f>
      </c>
      <c r="C9" s="129" cm="1">
        <f t="array" ref="C9">#REF!</f>
      </c>
      <c r="D9" s="130" cm="1">
        <f t="array" ref="D9">C9-B9</f>
      </c>
      <c r="E9" s="130"/>
    </row>
    <row r="10" ht="22.5" customHeight="1">
      <c r="A10" s="131"/>
      <c r="B10" s="132" cm="1">
        <f t="array" ref="B10">B3+B6</f>
      </c>
      <c r="C10" s="132" cm="1">
        <f t="array" ref="C10">C3+C6</f>
      </c>
      <c r="D10" s="132" cm="1">
        <f t="array" ref="D10">D3+D6</f>
      </c>
      <c r="E10" s="131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8.19531" style="133" customWidth="1"/>
    <col min="2" max="2" width="13.6016" style="133" customWidth="1"/>
    <col min="3" max="3" width="14.6016" style="133" customWidth="1"/>
    <col min="4" max="4" width="14.9219" style="133" customWidth="1"/>
    <col min="5" max="6" width="14.6016" style="133" customWidth="1"/>
    <col min="7" max="7" width="16.0781" style="133" customWidth="1"/>
    <col min="8" max="8" width="14.8516" style="133" customWidth="1"/>
    <col min="9" max="9" width="15.1641" style="133" customWidth="1"/>
    <col min="10" max="10" width="17.9922" style="133" customWidth="1"/>
    <col min="11" max="11" width="14.6719" style="133" customWidth="1"/>
    <col min="12" max="12" width="13.5" style="133" customWidth="1"/>
    <col min="13" max="13" width="14.75" style="133" customWidth="1"/>
    <col min="14" max="14" width="14.6719" style="133" customWidth="1"/>
    <col min="15" max="16384" width="16.3516" style="133" customWidth="1"/>
  </cols>
  <sheetData>
    <row r="1" ht="33" customHeight="1">
      <c r="A1" t="s" s="134">
        <v>129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ht="38.35" customHeight="1">
      <c r="A2" t="s" s="135">
        <v>130</v>
      </c>
      <c r="B2" t="s" s="65">
        <v>131</v>
      </c>
      <c r="C2" t="s" s="135">
        <v>132</v>
      </c>
      <c r="D2" t="s" s="135">
        <v>36</v>
      </c>
      <c r="E2" t="s" s="135">
        <v>133</v>
      </c>
      <c r="F2" t="s" s="135">
        <v>134</v>
      </c>
      <c r="G2" t="s" s="135">
        <v>135</v>
      </c>
      <c r="H2" t="s" s="135">
        <v>136</v>
      </c>
      <c r="I2" t="s" s="135">
        <v>137</v>
      </c>
      <c r="J2" t="s" s="136">
        <v>138</v>
      </c>
      <c r="K2" t="s" s="136">
        <v>139</v>
      </c>
      <c r="L2" t="s" s="136">
        <v>65</v>
      </c>
      <c r="M2" t="s" s="136">
        <v>111</v>
      </c>
      <c r="N2" t="s" s="136">
        <v>113</v>
      </c>
    </row>
    <row r="3" ht="23.6" customHeight="1">
      <c r="A3" s="137">
        <v>2026</v>
      </c>
      <c r="B3" s="138" cm="1">
        <f t="array" ref="B3">6150845000+H3+I3-J3-D3+F3+G3+E3</f>
        <v>527394568.73607</v>
      </c>
      <c r="C3" s="139">
        <v>1000000000</v>
      </c>
      <c r="D3" s="139">
        <v>-220000000</v>
      </c>
      <c r="E3" s="140" cm="1">
        <f t="array" ref="E3">'Income - Expense - INCOME'!B3</f>
        <v>2024648562.45358</v>
      </c>
      <c r="F3" s="140" cm="1">
        <f t="array" ref="F3">'Income - Expense - INCOME'!C3</f>
        <v>0</v>
      </c>
      <c r="G3" s="140" cm="1">
        <f t="array" ref="G3">-E3*70%</f>
        <v>-1417253993.71751</v>
      </c>
      <c r="H3" s="140" cm="1">
        <f t="array" ref="H3">'Bank - INTEREST &amp; LOAN'!B3</f>
        <v>-80000000</v>
      </c>
      <c r="I3" s="140" cm="1">
        <f t="array" ref="I3">'Income - Expense - INCOME'!K3</f>
        <v>0</v>
      </c>
      <c r="J3" s="141" cm="1">
        <f t="array" ref="J3">6150845000-D3</f>
        <v>6370845000</v>
      </c>
      <c r="K3" s="142" cm="1">
        <f t="array" ref="K3">IF(J3&lt;0,0,J3*'Info - danh-muc-2026-03-17 5-1'!$G$48)</f>
        <v>1274169000</v>
      </c>
      <c r="L3" s="142" cm="1">
        <f t="array" ref="L3">IF(J3&lt;0,0,J3*'Info - danh-muc-2026-03-17 5-1'!$G$49)</f>
        <v>637084500</v>
      </c>
      <c r="M3" s="142" cm="1">
        <f t="array" ref="M3">'Info - danh-muc-2026-03-17 5-1'!$G$50*J3</f>
        <v>637084500</v>
      </c>
      <c r="N3" s="143" cm="1">
        <f t="array" ref="N3">IF(J3&lt;0,0,J3-K3-L3-M3)</f>
        <v>3822507000</v>
      </c>
    </row>
    <row r="4" ht="23.5" customHeight="1">
      <c r="A4" s="137">
        <v>2027</v>
      </c>
      <c r="B4" s="144" cm="1">
        <f t="array" ref="B4">B3+H4+I4-J4-D4+F4+G4+E4</f>
        <v>397351463.28305</v>
      </c>
      <c r="C4" s="145">
        <v>1000000000</v>
      </c>
      <c r="D4" s="145" cm="1">
        <f t="array" ref="D4">-C3+C4</f>
        <v>0</v>
      </c>
      <c r="E4" s="146" cm="1">
        <f t="array" ref="E4">'Income - Expense - INCOME'!B4</f>
        <v>2058698044.27683</v>
      </c>
      <c r="F4" s="146" cm="1">
        <f t="array" ref="F4">'Income - Expense - INCOME'!C4</f>
        <v>0</v>
      </c>
      <c r="G4" s="146" cm="1">
        <f t="array" ref="G4">-E4*70%</f>
        <v>-1441088630.99378</v>
      </c>
      <c r="H4" s="146" cm="1">
        <f t="array" ref="H4">'Bank - INTEREST &amp; LOAN'!B4</f>
        <v>-220257950</v>
      </c>
      <c r="I4" s="146" cm="1">
        <f t="array" ref="I4">'Income - Expense - INCOME'!K4</f>
        <v>0</v>
      </c>
      <c r="J4" s="147" cm="1">
        <f t="array" ref="J4">B3-D4</f>
        <v>527394568.73607</v>
      </c>
      <c r="K4" s="148" cm="1">
        <f t="array" ref="K4">IF(J4&lt;0,0,J4*'Info - danh-muc-2026-03-17 5-1'!$G$48)</f>
        <v>105478913.747214</v>
      </c>
      <c r="L4" s="148" cm="1">
        <f t="array" ref="L4">IF(J4&lt;0,0,J4*'Info - danh-muc-2026-03-17 5-1'!$G$49)</f>
        <v>52739456.873607</v>
      </c>
      <c r="M4" s="148" cm="1">
        <f t="array" ref="M4">'Info - danh-muc-2026-03-17 5-1'!$G$50*J4</f>
        <v>52739456.873607</v>
      </c>
      <c r="N4" s="149" cm="1">
        <f t="array" ref="N4">J4-K4-L4-M4</f>
        <v>316436741.241642</v>
      </c>
    </row>
    <row r="5" ht="23.5" customHeight="1">
      <c r="A5" s="137">
        <v>2028</v>
      </c>
      <c r="B5" s="138" cm="1">
        <f t="array" ref="B5">B4+H5+I5-J5-D5+F5+G5+E5</f>
        <v>441908356.49563</v>
      </c>
      <c r="C5" s="139">
        <v>1000000000</v>
      </c>
      <c r="D5" s="139" cm="1">
        <f t="array" ref="D5">-C4+C5</f>
        <v>0</v>
      </c>
      <c r="E5" s="140" cm="1">
        <f t="array" ref="E5">'Income - Expense - INCOME'!B5</f>
        <v>2207221021.65209</v>
      </c>
      <c r="F5" s="140" cm="1">
        <f t="array" ref="F5">'Income - Expense - INCOME'!C5</f>
        <v>0</v>
      </c>
      <c r="G5" s="140" cm="1">
        <f t="array" ref="G5">-E5*70%</f>
        <v>-1545054715.15646</v>
      </c>
      <c r="H5" s="140" cm="1">
        <f t="array" ref="H5">'Bank - INTEREST &amp; LOAN'!B5</f>
        <v>-220257950</v>
      </c>
      <c r="I5" s="140" cm="1">
        <f t="array" ref="I5">'Income - Expense - INCOME'!K5</f>
        <v>0</v>
      </c>
      <c r="J5" s="150" cm="1">
        <f t="array" ref="J5">B4-D5</f>
        <v>397351463.28305</v>
      </c>
      <c r="K5" s="151" cm="1">
        <f t="array" ref="K5">IF(J5&lt;0,0,J5*'Info - danh-muc-2026-03-17 5-1'!$G$48)</f>
        <v>79470292.65661</v>
      </c>
      <c r="L5" s="151" cm="1">
        <f t="array" ref="L5">IF(J5&lt;0,0,J5*'Info - danh-muc-2026-03-17 5-1'!$G$49)</f>
        <v>39735146.328305</v>
      </c>
      <c r="M5" s="151" cm="1">
        <f t="array" ref="M5">'Info - danh-muc-2026-03-17 5-1'!$G$50*J5</f>
        <v>39735146.328305</v>
      </c>
      <c r="N5" s="152" cm="1">
        <f t="array" ref="N5">J5-K5-L5-M5</f>
        <v>238410877.96983</v>
      </c>
    </row>
    <row r="6" ht="23.5" customHeight="1">
      <c r="A6" s="137">
        <v>2029</v>
      </c>
      <c r="B6" s="144" cm="1">
        <f t="array" ref="B6">B5+H6+I6-J6-D6+F6+G6+E6</f>
        <v>478579965.39026</v>
      </c>
      <c r="C6" s="145">
        <v>1000000000</v>
      </c>
      <c r="D6" s="145" cm="1">
        <f t="array" ref="D6">-C5+C6</f>
        <v>0</v>
      </c>
      <c r="E6" s="146" cm="1">
        <f t="array" ref="E6">'Income - Expense - INCOME'!B6</f>
        <v>2329459717.96753</v>
      </c>
      <c r="F6" s="146" cm="1">
        <f t="array" ref="F6">'Income - Expense - INCOME'!C6</f>
        <v>0</v>
      </c>
      <c r="G6" s="146" cm="1">
        <f t="array" ref="G6">-E6*70%</f>
        <v>-1630621802.57727</v>
      </c>
      <c r="H6" s="146" cm="1">
        <f t="array" ref="H6">'Bank - INTEREST &amp; LOAN'!B6</f>
        <v>-220257950</v>
      </c>
      <c r="I6" s="146" cm="1">
        <f t="array" ref="I6">'Income - Expense - INCOME'!K6</f>
        <v>0</v>
      </c>
      <c r="J6" s="147" cm="1">
        <f t="array" ref="J6">B5-D6</f>
        <v>441908356.49563</v>
      </c>
      <c r="K6" s="148" cm="1">
        <f t="array" ref="K6">IF(J6&lt;0,0,J6*'Info - danh-muc-2026-03-17 5-1'!$G$48)</f>
        <v>88381671.299126</v>
      </c>
      <c r="L6" s="148" cm="1">
        <f t="array" ref="L6">IF(J6&lt;0,0,J6*'Info - danh-muc-2026-03-17 5-1'!$G$49)</f>
        <v>44190835.649563</v>
      </c>
      <c r="M6" s="148" cm="1">
        <f t="array" ref="M6">'Info - danh-muc-2026-03-17 5-1'!$G$50*J6</f>
        <v>44190835.649563</v>
      </c>
      <c r="N6" s="149" cm="1">
        <f t="array" ref="N6">J6-K6-L6-M6</f>
        <v>265145013.897378</v>
      </c>
    </row>
    <row r="7" ht="23.5" customHeight="1">
      <c r="A7" s="137">
        <v>2030</v>
      </c>
      <c r="B7" s="138" cm="1">
        <f t="array" ref="B7">B6+H7+I7-J7-D7+F7+G7+E7</f>
        <v>551210215.1727</v>
      </c>
      <c r="C7" s="139">
        <v>1000000000</v>
      </c>
      <c r="D7" s="139" cm="1">
        <f t="array" ref="D7">-C6+C7</f>
        <v>0</v>
      </c>
      <c r="E7" s="140" cm="1">
        <f t="array" ref="E7">'Income - Expense - INCOME'!B7</f>
        <v>2571560550.57568</v>
      </c>
      <c r="F7" s="140" cm="1">
        <f t="array" ref="F7">'Income - Expense - INCOME'!C7</f>
        <v>0</v>
      </c>
      <c r="G7" s="140" cm="1">
        <f t="array" ref="G7">-E7*70%</f>
        <v>-1800092385.40298</v>
      </c>
      <c r="H7" s="140" cm="1">
        <f t="array" ref="H7">'Bank - INTEREST &amp; LOAN'!B7</f>
        <v>-220257950</v>
      </c>
      <c r="I7" s="140" cm="1">
        <f t="array" ref="I7">'Income - Expense - INCOME'!K7</f>
        <v>0</v>
      </c>
      <c r="J7" s="150" cm="1">
        <f t="array" ref="J7">B6-D7</f>
        <v>478579965.39026</v>
      </c>
      <c r="K7" s="151" cm="1">
        <f t="array" ref="K7">IF(J7&lt;0,0,J7*'Info - danh-muc-2026-03-17 5-1'!$G$48)</f>
        <v>95715993.078052</v>
      </c>
      <c r="L7" s="151" cm="1">
        <f t="array" ref="L7">IF(J7&lt;0,0,J7*'Info - danh-muc-2026-03-17 5-1'!$G$49)</f>
        <v>47857996.539026</v>
      </c>
      <c r="M7" s="151" cm="1">
        <f t="array" ref="M7">'Info - danh-muc-2026-03-17 5-1'!$G$50*J7</f>
        <v>47857996.539026</v>
      </c>
      <c r="N7" s="152" cm="1">
        <f t="array" ref="N7">J7-K7-L7-M7</f>
        <v>287147979.234156</v>
      </c>
    </row>
    <row r="8" ht="23.5" customHeight="1">
      <c r="A8" s="137">
        <v>2031</v>
      </c>
      <c r="B8" s="144" cm="1">
        <f t="array" ref="B8">B7+H8+I8-J8-D8+F8+G8+E8</f>
        <v>563085702.85342</v>
      </c>
      <c r="C8" s="145">
        <v>1000000000</v>
      </c>
      <c r="D8" s="145" cm="1">
        <f t="array" ref="D8">-C7+C8</f>
        <v>0</v>
      </c>
      <c r="E8" s="146" cm="1">
        <f t="array" ref="E8">'Income - Expense - INCOME'!B8</f>
        <v>2611145509.51141</v>
      </c>
      <c r="F8" s="146" cm="1">
        <f t="array" ref="F8">'Income - Expense - INCOME'!C8</f>
        <v>0</v>
      </c>
      <c r="G8" s="146" cm="1">
        <f t="array" ref="G8">-E8*70%</f>
        <v>-1827801856.65799</v>
      </c>
      <c r="H8" s="146" cm="1">
        <f t="array" ref="H8">'Bank - INTEREST &amp; LOAN'!B8</f>
        <v>-220257950</v>
      </c>
      <c r="I8" s="146" cm="1">
        <f t="array" ref="I8">'Income - Expense - INCOME'!K8</f>
        <v>0</v>
      </c>
      <c r="J8" s="147" cm="1">
        <f t="array" ref="J8">B7-D8</f>
        <v>551210215.1727</v>
      </c>
      <c r="K8" s="148" cm="1">
        <f t="array" ref="K8">IF(J8&lt;0,0,J8*'Info - danh-muc-2026-03-17 5-1'!$G$48)</f>
        <v>110242043.03454</v>
      </c>
      <c r="L8" s="148" cm="1">
        <f t="array" ref="L8">IF(J8&lt;0,0,J8*'Info - danh-muc-2026-03-17 5-1'!$G$49)</f>
        <v>55121021.51727</v>
      </c>
      <c r="M8" s="148" cm="1">
        <f t="array" ref="M8">'Info - danh-muc-2026-03-17 5-1'!$G$50*J8</f>
        <v>55121021.51727</v>
      </c>
      <c r="N8" s="149" cm="1">
        <f t="array" ref="N8">J8-K8-L8-M8</f>
        <v>330726129.10362</v>
      </c>
    </row>
    <row r="9" ht="23.5" customHeight="1">
      <c r="A9" s="137">
        <v>2032</v>
      </c>
      <c r="B9" s="138" cm="1">
        <f t="array" ref="B9">B8+H9+I9-J9-D9+F9+G9+E9</f>
        <v>575436210.04137</v>
      </c>
      <c r="C9" s="139">
        <v>1000000000</v>
      </c>
      <c r="D9" s="139" cm="1">
        <f t="array" ref="D9">-C8+C9</f>
        <v>0</v>
      </c>
      <c r="E9" s="140" cm="1">
        <f t="array" ref="E9">'Income - Expense - INCOME'!B9</f>
        <v>2652313866.80457</v>
      </c>
      <c r="F9" s="140" cm="1">
        <f t="array" ref="F9">'Income - Expense - INCOME'!C9</f>
        <v>0</v>
      </c>
      <c r="G9" s="140" cm="1">
        <f t="array" ref="G9">-E9*70%</f>
        <v>-1856619706.7632</v>
      </c>
      <c r="H9" s="140" cm="1">
        <f t="array" ref="H9">'Bank - INTEREST &amp; LOAN'!B9</f>
        <v>-220257950</v>
      </c>
      <c r="I9" s="140" cm="1">
        <f t="array" ref="I9">'Income - Expense - INCOME'!K9</f>
        <v>0</v>
      </c>
      <c r="J9" s="150" cm="1">
        <f t="array" ref="J9">B8-D9</f>
        <v>563085702.85342</v>
      </c>
      <c r="K9" s="151" cm="1">
        <f t="array" ref="K9">IF(J9&lt;0,0,J9*'Info - danh-muc-2026-03-17 5-1'!$G$48)</f>
        <v>112617140.570684</v>
      </c>
      <c r="L9" s="151" cm="1">
        <f t="array" ref="L9">IF(J9&lt;0,0,J9*'Info - danh-muc-2026-03-17 5-1'!$G$49)</f>
        <v>56308570.285342</v>
      </c>
      <c r="M9" s="151" cm="1">
        <f t="array" ref="M9">'Info - danh-muc-2026-03-17 5-1'!$G$50*J9</f>
        <v>56308570.285342</v>
      </c>
      <c r="N9" s="152" cm="1">
        <f t="array" ref="N9">J9-K9-L9-M9</f>
        <v>337851421.712052</v>
      </c>
    </row>
    <row r="10" ht="23.5" customHeight="1">
      <c r="A10" s="137">
        <v>2033</v>
      </c>
      <c r="B10" s="144" cm="1">
        <f t="array" ref="B10">B9+H10+I10-J10-D10+F10+G10+E10</f>
        <v>588280737.51683</v>
      </c>
      <c r="C10" s="145">
        <v>1000000000</v>
      </c>
      <c r="D10" s="145" cm="1">
        <f t="array" ref="D10">-C9+C10</f>
        <v>0</v>
      </c>
      <c r="E10" s="146" cm="1">
        <f t="array" ref="E10">'Income - Expense - INCOME'!B10</f>
        <v>2695128958.38945</v>
      </c>
      <c r="F10" s="146" cm="1">
        <f t="array" ref="F10">'Income - Expense - INCOME'!C10</f>
        <v>0</v>
      </c>
      <c r="G10" s="146" cm="1">
        <f t="array" ref="G10">-E10*70%</f>
        <v>-1886590270.87262</v>
      </c>
      <c r="H10" s="146" cm="1">
        <f t="array" ref="H10">'Bank - INTEREST &amp; LOAN'!B10</f>
        <v>-220257950</v>
      </c>
      <c r="I10" s="146" cm="1">
        <f t="array" ref="I10">'Income - Expense - INCOME'!K10</f>
        <v>0</v>
      </c>
      <c r="J10" s="147" cm="1">
        <f t="array" ref="J10">B9-D10</f>
        <v>575436210.04137</v>
      </c>
      <c r="K10" s="148" cm="1">
        <f t="array" ref="K10">IF(J10&lt;0,0,J10*'Info - danh-muc-2026-03-17 5-1'!$G$48)</f>
        <v>115087242.008274</v>
      </c>
      <c r="L10" s="148" cm="1">
        <f t="array" ref="L10">IF(J10&lt;0,0,J10*'Info - danh-muc-2026-03-17 5-1'!$G$49)</f>
        <v>57543621.004137</v>
      </c>
      <c r="M10" s="148" cm="1">
        <f t="array" ref="M10">'Info - danh-muc-2026-03-17 5-1'!$G$50*J10</f>
        <v>57543621.004137</v>
      </c>
      <c r="N10" s="149" cm="1">
        <f t="array" ref="N10">J10-K10-L10-M10</f>
        <v>345261726.024822</v>
      </c>
    </row>
    <row r="11" ht="23.5" customHeight="1">
      <c r="A11" s="137">
        <v>2034</v>
      </c>
      <c r="B11" s="138" cm="1">
        <f t="array" ref="B11">B10+H11+I11-J11-D11+F11+G11+E11</f>
        <v>601639046.09132</v>
      </c>
      <c r="C11" s="139">
        <v>1000000000</v>
      </c>
      <c r="D11" s="139" cm="1">
        <f t="array" ref="D11">-C10+C11</f>
        <v>0</v>
      </c>
      <c r="E11" s="140" cm="1">
        <f t="array" ref="E11">'Income - Expense - INCOME'!B11</f>
        <v>2739656653.63773</v>
      </c>
      <c r="F11" s="140" cm="1">
        <f t="array" ref="F11">'Income - Expense - INCOME'!C11</f>
        <v>0</v>
      </c>
      <c r="G11" s="140" cm="1">
        <f t="array" ref="G11">-E11*70%</f>
        <v>-1917759657.54641</v>
      </c>
      <c r="H11" s="140" cm="1">
        <f t="array" ref="H11">'Bank - INTEREST &amp; LOAN'!B11</f>
        <v>-220257950</v>
      </c>
      <c r="I11" s="140" cm="1">
        <f t="array" ref="I11">'Income - Expense - INCOME'!K11</f>
        <v>0</v>
      </c>
      <c r="J11" s="150" cm="1">
        <f t="array" ref="J11">B10-D11</f>
        <v>588280737.51683</v>
      </c>
      <c r="K11" s="151" cm="1">
        <f t="array" ref="K11">IF(J11&lt;0,0,J11*'Info - danh-muc-2026-03-17 5-1'!$G$48)</f>
        <v>117656147.503366</v>
      </c>
      <c r="L11" s="151" cm="1">
        <f t="array" ref="L11">IF(J11&lt;0,0,J11*'Info - danh-muc-2026-03-17 5-1'!$G$49)</f>
        <v>58828073.751683</v>
      </c>
      <c r="M11" s="151" cm="1">
        <f t="array" ref="M11">'Info - danh-muc-2026-03-17 5-1'!$G$50*J11</f>
        <v>58828073.751683</v>
      </c>
      <c r="N11" s="152" cm="1">
        <f t="array" ref="N11">J11-K11-L11-M11</f>
        <v>352968442.510098</v>
      </c>
    </row>
    <row r="12" ht="23.5" customHeight="1">
      <c r="A12" s="137">
        <v>2035</v>
      </c>
      <c r="B12" s="144" cm="1">
        <f t="array" ref="B12">B11+H12+I12-J12-D12+F12+G12+E12</f>
        <v>615531687.00878</v>
      </c>
      <c r="C12" s="145">
        <v>1000000000</v>
      </c>
      <c r="D12" s="145" cm="1">
        <f t="array" ref="D12">-C11+C12</f>
        <v>0</v>
      </c>
      <c r="E12" s="146" cm="1">
        <f t="array" ref="E12">'Income - Expense - INCOME'!B12</f>
        <v>2785965456.69594</v>
      </c>
      <c r="F12" s="146" cm="1">
        <f t="array" ref="F12">'Income - Expense - INCOME'!C12</f>
        <v>0</v>
      </c>
      <c r="G12" s="146" cm="1">
        <f t="array" ref="G12">-E12*70%</f>
        <v>-1950175819.68716</v>
      </c>
      <c r="H12" s="146" cm="1">
        <f t="array" ref="H12">'Bank - INTEREST &amp; LOAN'!B12</f>
        <v>-220257950</v>
      </c>
      <c r="I12" s="146" cm="1">
        <f t="array" ref="I12">'Income - Expense - INCOME'!K12</f>
        <v>0</v>
      </c>
      <c r="J12" s="147" cm="1">
        <f t="array" ref="J12">B11-D12</f>
        <v>601639046.09132</v>
      </c>
      <c r="K12" s="148" cm="1">
        <f t="array" ref="K12">IF(J12&lt;0,0,J12*'Info - danh-muc-2026-03-17 5-1'!$G$48)</f>
        <v>120327809.218264</v>
      </c>
      <c r="L12" s="148" cm="1">
        <f t="array" ref="L12">IF(J12&lt;0,0,J12*'Info - danh-muc-2026-03-17 5-1'!$G$49)</f>
        <v>60163904.609132</v>
      </c>
      <c r="M12" s="148" cm="1">
        <f t="array" ref="M12">'Info - danh-muc-2026-03-17 5-1'!$G$50*J12</f>
        <v>60163904.609132</v>
      </c>
      <c r="N12" s="149" cm="1">
        <f t="array" ref="N12">J12-K12-L12-M12</f>
        <v>360983427.654792</v>
      </c>
    </row>
    <row r="13" ht="23.5" customHeight="1">
      <c r="A13" s="137">
        <v>2036</v>
      </c>
      <c r="B13" s="138" cm="1">
        <f t="array" ref="B13">B12+H13+I13-J13-D13+F13+G13+E13</f>
        <v>629980033.56294</v>
      </c>
      <c r="C13" s="139">
        <v>1000000000</v>
      </c>
      <c r="D13" s="139" cm="1">
        <f t="array" ref="D13">-C12+C13</f>
        <v>0</v>
      </c>
      <c r="E13" s="140" cm="1">
        <f t="array" ref="E13">'Income - Expense - INCOME'!B13</f>
        <v>2834126611.87648</v>
      </c>
      <c r="F13" s="140" cm="1">
        <f t="array" ref="F13">'Income - Expense - INCOME'!C13</f>
        <v>0</v>
      </c>
      <c r="G13" s="140" cm="1">
        <f t="array" ref="G13">-E13*70%</f>
        <v>-1983888628.31354</v>
      </c>
      <c r="H13" s="140" cm="1">
        <f t="array" ref="H13">'Bank - INTEREST &amp; LOAN'!B13</f>
        <v>-220257950</v>
      </c>
      <c r="I13" s="140" cm="1">
        <f t="array" ref="I13">'Income - Expense - INCOME'!K13</f>
        <v>0</v>
      </c>
      <c r="J13" s="150" cm="1">
        <f t="array" ref="J13">B12-D13</f>
        <v>615531687.00878</v>
      </c>
      <c r="K13" s="151" cm="1">
        <f t="array" ref="K13">IF(J13&lt;0,0,J13*'Info - danh-muc-2026-03-17 5-1'!$G$48)</f>
        <v>123106337.401756</v>
      </c>
      <c r="L13" s="151" cm="1">
        <f t="array" ref="L13">IF(J13&lt;0,0,J13*'Info - danh-muc-2026-03-17 5-1'!$G$49)</f>
        <v>61553168.700878</v>
      </c>
      <c r="M13" s="151" cm="1">
        <f t="array" ref="M13">'Info - danh-muc-2026-03-17 5-1'!$G$50*J13</f>
        <v>61553168.700878</v>
      </c>
      <c r="N13" s="152" cm="1">
        <f t="array" ref="N13">J13-K13-L13-M13</f>
        <v>369319012.205268</v>
      </c>
    </row>
    <row r="14" ht="23.5" customHeight="1">
      <c r="A14" s="137">
        <v>2037</v>
      </c>
      <c r="B14" s="144" cm="1">
        <f t="array" ref="B14">B13+H14+I14-J14-D14+F14+G14+E14</f>
        <v>645006313.97927</v>
      </c>
      <c r="C14" s="145">
        <v>1000000000</v>
      </c>
      <c r="D14" s="145" cm="1">
        <f t="array" ref="D14">-C13+C14</f>
        <v>0</v>
      </c>
      <c r="E14" s="146" cm="1">
        <f t="array" ref="E14">'Income - Expense - INCOME'!B14</f>
        <v>2884214213.26424</v>
      </c>
      <c r="F14" s="146" cm="1">
        <f t="array" ref="F14">'Income - Expense - INCOME'!C14</f>
        <v>0</v>
      </c>
      <c r="G14" s="146" cm="1">
        <f t="array" ref="G14">-E14*70%</f>
        <v>-2018949949.28497</v>
      </c>
      <c r="H14" s="146" cm="1">
        <f t="array" ref="H14">'Bank - INTEREST &amp; LOAN'!B14</f>
        <v>-220257950</v>
      </c>
      <c r="I14" s="146" cm="1">
        <f t="array" ref="I14">'Income - Expense - INCOME'!K14</f>
        <v>0</v>
      </c>
      <c r="J14" s="147" cm="1">
        <f t="array" ref="J14">B13-D14</f>
        <v>629980033.56294</v>
      </c>
      <c r="K14" s="148" cm="1">
        <f t="array" ref="K14">IF(J14&lt;0,0,J14*'Info - danh-muc-2026-03-17 5-1'!$G$48)</f>
        <v>125996006.712588</v>
      </c>
      <c r="L14" s="148" cm="1">
        <f t="array" ref="L14">IF(J14&lt;0,0,J14*'Info - danh-muc-2026-03-17 5-1'!$G$49)</f>
        <v>62998003.356294</v>
      </c>
      <c r="M14" s="148" cm="1">
        <f t="array" ref="M14">'Info - danh-muc-2026-03-17 5-1'!$G$50*J14</f>
        <v>62998003.356294</v>
      </c>
      <c r="N14" s="149" cm="1">
        <f t="array" ref="N14">J14-K14-L14-M14</f>
        <v>377988020.137764</v>
      </c>
    </row>
    <row r="15" ht="23.5" customHeight="1">
      <c r="A15" s="137">
        <v>2038</v>
      </c>
      <c r="B15" s="138" cm="1">
        <f t="array" ref="B15">B14+H15+I15-J15-D15+F15+G15+E15</f>
        <v>625108493.55214</v>
      </c>
      <c r="C15" s="139">
        <v>1000000000</v>
      </c>
      <c r="D15" s="139" cm="1">
        <f t="array" ref="D15">-C14+C15</f>
        <v>0</v>
      </c>
      <c r="E15" s="140" cm="1">
        <f t="array" ref="E15">'Income - Expense - INCOME'!B15</f>
        <v>2817888145.1738</v>
      </c>
      <c r="F15" s="140" cm="1">
        <f t="array" ref="F15">'Income - Expense - INCOME'!C15</f>
        <v>0</v>
      </c>
      <c r="G15" s="140" cm="1">
        <f t="array" ref="G15">-E15*70%</f>
        <v>-1972521701.62166</v>
      </c>
      <c r="H15" s="140" cm="1">
        <f t="array" ref="H15">'Bank - INTEREST &amp; LOAN'!B15</f>
        <v>-220257950</v>
      </c>
      <c r="I15" s="140" cm="1">
        <f t="array" ref="I15">'Income - Expense - INCOME'!K15</f>
        <v>0</v>
      </c>
      <c r="J15" s="150" cm="1">
        <f t="array" ref="J15">B14-D15</f>
        <v>645006313.97927</v>
      </c>
      <c r="K15" s="151" cm="1">
        <f t="array" ref="K15">IF(J15&lt;0,0,J15*'Info - danh-muc-2026-03-17 5-1'!$G$48)</f>
        <v>129001262.795854</v>
      </c>
      <c r="L15" s="151" cm="1">
        <f t="array" ref="L15">IF(J15&lt;0,0,J15*'Info - danh-muc-2026-03-17 5-1'!$G$49)</f>
        <v>64500631.397927</v>
      </c>
      <c r="M15" s="151" cm="1">
        <f t="array" ref="M15">'Info - danh-muc-2026-03-17 5-1'!$G$50*J15</f>
        <v>64500631.397927</v>
      </c>
      <c r="N15" s="152" cm="1">
        <f t="array" ref="N15">J15-K15-L15-M15</f>
        <v>387003788.387562</v>
      </c>
    </row>
    <row r="16" ht="23.5" customHeight="1">
      <c r="A16" s="137">
        <v>2039</v>
      </c>
      <c r="B16" s="144" cm="1">
        <f t="array" ref="B16">B15+H16+I16-J16-D16+F16+G16+E16</f>
        <v>641360918.45044</v>
      </c>
      <c r="C16" s="145">
        <v>1000000000</v>
      </c>
      <c r="D16" s="145" cm="1">
        <f t="array" ref="D16">-C15+C16</f>
        <v>0</v>
      </c>
      <c r="E16" s="146" cm="1">
        <f t="array" ref="E16">'Income - Expense - INCOME'!B16</f>
        <v>2872062894.8348</v>
      </c>
      <c r="F16" s="146" cm="1">
        <f t="array" ref="F16">'Income - Expense - INCOME'!C16</f>
        <v>0</v>
      </c>
      <c r="G16" s="146" cm="1">
        <f t="array" ref="G16">-E16*70%</f>
        <v>-2010444026.38436</v>
      </c>
      <c r="H16" s="146" cm="1">
        <f t="array" ref="H16">'Bank - INTEREST &amp; LOAN'!B16</f>
        <v>-220257950</v>
      </c>
      <c r="I16" s="146" cm="1">
        <f t="array" ref="I16">'Income - Expense - INCOME'!K16</f>
        <v>0</v>
      </c>
      <c r="J16" s="147" cm="1">
        <f t="array" ref="J16">B15-D16</f>
        <v>625108493.55214</v>
      </c>
      <c r="K16" s="148" cm="1">
        <f t="array" ref="K16">IF(J16&lt;0,0,J16*'Info - danh-muc-2026-03-17 5-1'!$G$48)</f>
        <v>125021698.710428</v>
      </c>
      <c r="L16" s="148" cm="1">
        <f t="array" ref="L16">IF(J16&lt;0,0,J16*'Info - danh-muc-2026-03-17 5-1'!$G$49)</f>
        <v>62510849.355214</v>
      </c>
      <c r="M16" s="148" cm="1">
        <f t="array" ref="M16">'Info - danh-muc-2026-03-17 5-1'!$G$50*J16</f>
        <v>62510849.355214</v>
      </c>
      <c r="N16" s="149" cm="1">
        <f t="array" ref="N16">J16-K16-L16-M16</f>
        <v>375065096.131284</v>
      </c>
    </row>
    <row r="17" ht="23.5" customHeight="1">
      <c r="A17" s="137">
        <v>2040</v>
      </c>
      <c r="B17" s="138" cm="1">
        <f t="array" ref="B17">B16+H17+I17-J17-D17+F17+G17+E17</f>
        <v>658263440.3446701</v>
      </c>
      <c r="C17" s="139">
        <v>1000000000</v>
      </c>
      <c r="D17" s="139" cm="1">
        <f t="array" ref="D17">-C16+C17</f>
        <v>0</v>
      </c>
      <c r="E17" s="140" cm="1">
        <f t="array" ref="E17">'Income - Expense - INCOME'!B17</f>
        <v>2928404634.48224</v>
      </c>
      <c r="F17" s="140" cm="1">
        <f t="array" ref="F17">'Income - Expense - INCOME'!C17</f>
        <v>0</v>
      </c>
      <c r="G17" s="140" cm="1">
        <f t="array" ref="G17">-E17*70%</f>
        <v>-2049883244.13757</v>
      </c>
      <c r="H17" s="140" cm="1">
        <f t="array" ref="H17">'Bank - INTEREST &amp; LOAN'!B17</f>
        <v>-220257950</v>
      </c>
      <c r="I17" s="140" cm="1">
        <f t="array" ref="I17">'Income - Expense - INCOME'!K17</f>
        <v>0</v>
      </c>
      <c r="J17" s="150" cm="1">
        <f t="array" ref="J17">B16-D17</f>
        <v>641360918.45044</v>
      </c>
      <c r="K17" s="151" cm="1">
        <f t="array" ref="K17">IF(J17&lt;0,0,J17*'Info - danh-muc-2026-03-17 5-1'!$G$48)</f>
        <v>128272183.690088</v>
      </c>
      <c r="L17" s="151" cm="1">
        <f t="array" ref="L17">IF(J17&lt;0,0,J17*'Info - danh-muc-2026-03-17 5-1'!$G$49)</f>
        <v>64136091.845044</v>
      </c>
      <c r="M17" s="151" cm="1">
        <f t="array" ref="M17">'Info - danh-muc-2026-03-17 5-1'!$G$50*J17</f>
        <v>64136091.845044</v>
      </c>
      <c r="N17" s="152" cm="1">
        <f t="array" ref="N17">IF(J17&lt;0,0,J17-K17-L17-M17)</f>
        <v>384816551.070264</v>
      </c>
    </row>
    <row r="18" ht="23.5" customHeight="1">
      <c r="A18" s="137">
        <v>2041</v>
      </c>
      <c r="B18" s="144" cm="1">
        <f t="array" ref="B18">B17+H18+I18-J18-D18+F18+G18+E18</f>
        <v>675842063.11467</v>
      </c>
      <c r="C18" s="145">
        <v>1000000000</v>
      </c>
      <c r="D18" s="145" cm="1">
        <f t="array" ref="D18">-C17+C18</f>
        <v>0</v>
      </c>
      <c r="E18" s="146" cm="1">
        <f t="array" ref="E18">'Income - Expense - INCOME'!B18</f>
        <v>2987000043.71558</v>
      </c>
      <c r="F18" s="146" cm="1">
        <f t="array" ref="F18">'Income - Expense - INCOME'!C18</f>
        <v>0</v>
      </c>
      <c r="G18" s="146" cm="1">
        <f t="array" ref="G18">-E18*70%</f>
        <v>-2090900030.60091</v>
      </c>
      <c r="H18" s="146" cm="1">
        <f t="array" ref="H18">'Bank - INTEREST &amp; LOAN'!B18</f>
        <v>-220257950</v>
      </c>
      <c r="I18" s="146" cm="1">
        <f t="array" ref="I18">'Income - Expense - INCOME'!K18</f>
        <v>0</v>
      </c>
      <c r="J18" s="147" cm="1">
        <f t="array" ref="J18">B17-D18</f>
        <v>658263440.3446701</v>
      </c>
      <c r="K18" s="148" cm="1">
        <f t="array" ref="K18">IF(J18&lt;0,0,J18*'Info - danh-muc-2026-03-17 5-1'!$G$48)</f>
        <v>131652688.068934</v>
      </c>
      <c r="L18" s="148" cm="1">
        <f t="array" ref="L18">IF(J18&lt;0,0,J18*'Info - danh-muc-2026-03-17 5-1'!$G$49)</f>
        <v>65826344.034467</v>
      </c>
      <c r="M18" s="148" cm="1">
        <f t="array" ref="M18">'Info - danh-muc-2026-03-17 5-1'!$G$50*J18</f>
        <v>65826344.034467</v>
      </c>
      <c r="N18" s="149" cm="1">
        <f t="array" ref="N18">IF(J18&lt;0,0,J18-K18-L18-M18)</f>
        <v>394958064.206802</v>
      </c>
    </row>
    <row r="19" ht="23.5" customHeight="1">
      <c r="A19" s="137">
        <v>2042</v>
      </c>
      <c r="B19" s="138" cm="1">
        <f t="array" ref="B19">B18+H19+I19-J19-D19+F19+G19+E19</f>
        <v>694123830.79547</v>
      </c>
      <c r="C19" s="139">
        <v>1000000000</v>
      </c>
      <c r="D19" s="139" cm="1">
        <f t="array" ref="D19">-C18+C19</f>
        <v>0</v>
      </c>
      <c r="E19" s="140" cm="1">
        <f t="array" ref="E19">'Income - Expense - INCOME'!B19</f>
        <v>3047939269.31825</v>
      </c>
      <c r="F19" s="140" cm="1">
        <f t="array" ref="F19">'Income - Expense - INCOME'!C19</f>
        <v>0</v>
      </c>
      <c r="G19" s="140" cm="1">
        <f t="array" ref="G19">-E19*70%</f>
        <v>-2133557488.52278</v>
      </c>
      <c r="H19" s="140" cm="1">
        <f t="array" ref="H19">'Bank - INTEREST &amp; LOAN'!B19</f>
        <v>-220257950</v>
      </c>
      <c r="I19" s="140" cm="1">
        <f t="array" ref="I19">'Income - Expense - INCOME'!K19</f>
        <v>0</v>
      </c>
      <c r="J19" s="150" cm="1">
        <f t="array" ref="J19">B18-D19</f>
        <v>675842063.11467</v>
      </c>
      <c r="K19" s="151" cm="1">
        <f t="array" ref="K19">IF(J19&lt;0,0,J19*'Info - danh-muc-2026-03-17 5-1'!$G$48)</f>
        <v>135168412.622934</v>
      </c>
      <c r="L19" s="151" cm="1">
        <f t="array" ref="L19">IF(J19&lt;0,0,J19*'Info - danh-muc-2026-03-17 5-1'!$G$49)</f>
        <v>67584206.31146701</v>
      </c>
      <c r="M19" s="151" cm="1">
        <f t="array" ref="M19">'Info - danh-muc-2026-03-17 5-1'!$G$50*J19</f>
        <v>67584206.31146701</v>
      </c>
      <c r="N19" s="152" cm="1">
        <f t="array" ref="N19">IF(J19&lt;0,0,J19-K19-L19-M19)</f>
        <v>405505237.868802</v>
      </c>
    </row>
    <row r="20" ht="23.5" customHeight="1">
      <c r="A20" s="137">
        <v>2043</v>
      </c>
      <c r="B20" s="144" cm="1">
        <f t="array" ref="B20">B19+H20+I20-J20-D20+F20+G20+E20</f>
        <v>713136869.1835099</v>
      </c>
      <c r="C20" s="145">
        <v>1000000000</v>
      </c>
      <c r="D20" s="145" cm="1">
        <f t="array" ref="D20">-C19+C20</f>
        <v>0</v>
      </c>
      <c r="E20" s="146" cm="1">
        <f t="array" ref="E20">'Income - Expense - INCOME'!B20</f>
        <v>3111316063.94503</v>
      </c>
      <c r="F20" s="146" cm="1">
        <f t="array" ref="F20">'Income - Expense - INCOME'!C20</f>
        <v>0</v>
      </c>
      <c r="G20" s="146" cm="1">
        <f t="array" ref="G20">-E20*70%</f>
        <v>-2177921244.76152</v>
      </c>
      <c r="H20" s="146" cm="1">
        <f t="array" ref="H20">'Bank - INTEREST &amp; LOAN'!B20</f>
        <v>-220257950</v>
      </c>
      <c r="I20" s="146" cm="1">
        <f t="array" ref="I20">'Income - Expense - INCOME'!K20</f>
        <v>0</v>
      </c>
      <c r="J20" s="147" cm="1">
        <f t="array" ref="J20">B19-D20</f>
        <v>694123830.79547</v>
      </c>
      <c r="K20" s="148" cm="1">
        <f t="array" ref="K20">IF(J20&lt;0,0,J20*'Info - danh-muc-2026-03-17 5-1'!$G$48)</f>
        <v>138824766.159094</v>
      </c>
      <c r="L20" s="148" cm="1">
        <f t="array" ref="L20">IF(J20&lt;0,0,J20*'Info - danh-muc-2026-03-17 5-1'!$G$49)</f>
        <v>69412383.079547</v>
      </c>
      <c r="M20" s="148" cm="1">
        <f t="array" ref="M20">'Info - danh-muc-2026-03-17 5-1'!$G$50*J20</f>
        <v>69412383.079547</v>
      </c>
      <c r="N20" s="149" cm="1">
        <f t="array" ref="N20">IF(J20&lt;0,0,J20-K20-L20-M20)</f>
        <v>416474298.477282</v>
      </c>
    </row>
    <row r="21" ht="23.6" customHeight="1">
      <c r="A21" s="137">
        <v>2044</v>
      </c>
      <c r="B21" s="138" cm="1">
        <f t="array" ref="B21">B20+H21+I21-J21-D21+F21+G21+E21</f>
        <v>732910429.10706</v>
      </c>
      <c r="C21" s="139">
        <v>1000000000</v>
      </c>
      <c r="D21" s="139" cm="1">
        <f t="array" ref="D21">-C20+C21</f>
        <v>0</v>
      </c>
      <c r="E21" s="140" cm="1">
        <f t="array" ref="E21">'Income - Expense - INCOME'!B21</f>
        <v>3177227930.35688</v>
      </c>
      <c r="F21" s="140" cm="1">
        <f t="array" ref="F21">'Income - Expense - INCOME'!C21</f>
        <v>0</v>
      </c>
      <c r="G21" s="140" cm="1">
        <f t="array" ref="G21">-E21*70%</f>
        <v>-2224059551.24982</v>
      </c>
      <c r="H21" s="140" cm="1">
        <f t="array" ref="H21">'Bank - INTEREST &amp; LOAN'!B21</f>
        <v>-220257950</v>
      </c>
      <c r="I21" s="140" cm="1">
        <f t="array" ref="I21">'Income - Expense - INCOME'!K21</f>
        <v>0</v>
      </c>
      <c r="J21" s="153" cm="1">
        <f t="array" ref="J21">B20-D21</f>
        <v>713136869.1835099</v>
      </c>
      <c r="K21" s="154" cm="1">
        <f t="array" ref="K21">IF(J21&lt;0,0,J21*'Info - danh-muc-2026-03-17 5-1'!$G$48)</f>
        <v>142627373.836702</v>
      </c>
      <c r="L21" s="154" cm="1">
        <f t="array" ref="L21">IF(J21&lt;0,0,J21*'Info - danh-muc-2026-03-17 5-1'!$G$49)</f>
        <v>71313686.91835099</v>
      </c>
      <c r="M21" s="154" cm="1">
        <f t="array" ref="M21">'Info - danh-muc-2026-03-17 5-1'!$G$50*J21</f>
        <v>71313686.91835099</v>
      </c>
      <c r="N21" s="155" cm="1">
        <f t="array" ref="N21">IF(J21&lt;0,0,J21-K21-L21-M21)</f>
        <v>427882121.510106</v>
      </c>
    </row>
    <row r="22" ht="23.35" customHeight="1">
      <c r="A22" s="156"/>
      <c r="B22" s="157"/>
      <c r="C22" s="158"/>
      <c r="D22" s="159"/>
      <c r="E22" s="158"/>
      <c r="F22" s="158"/>
      <c r="G22" s="158"/>
      <c r="H22" s="158"/>
      <c r="I22" s="158"/>
      <c r="J22" s="160"/>
      <c r="K22" s="161"/>
      <c r="L22" s="161"/>
      <c r="M22" s="161"/>
      <c r="N22" s="161"/>
    </row>
  </sheetData>
  <mergeCells count="1">
    <mergeCell ref="A1:N1"/>
  </mergeCells>
  <conditionalFormatting sqref="B2 D2 K2:N2 B22:N22">
    <cfRule type="cellIs" dxfId="2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5.91406" style="162" customWidth="1"/>
    <col min="2" max="2" width="16.8516" style="162" customWidth="1"/>
    <col min="3" max="3" width="15.1016" style="162" customWidth="1"/>
    <col min="4" max="5" width="13.8516" style="162" customWidth="1"/>
    <col min="6" max="6" width="13" style="162" customWidth="1"/>
    <col min="7" max="8" width="14.8516" style="162" customWidth="1"/>
    <col min="9" max="9" width="14.4219" style="162" customWidth="1"/>
    <col min="10" max="10" width="14.9219" style="162" customWidth="1"/>
    <col min="11" max="11" width="16.0391" style="162" customWidth="1"/>
    <col min="12" max="13" width="13.75" style="162" customWidth="1"/>
    <col min="14" max="14" width="15.3828" style="162" customWidth="1"/>
    <col min="15" max="15" width="15.0781" style="162" customWidth="1"/>
    <col min="16" max="16384" width="16.3516" style="162" customWidth="1"/>
  </cols>
  <sheetData>
    <row r="1" ht="33" customHeight="1">
      <c r="A1" t="s" s="134">
        <v>133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ht="36.35" customHeight="1">
      <c r="A2" s="163"/>
      <c r="B2" t="s" s="65">
        <v>140</v>
      </c>
      <c r="C2" t="s" s="65">
        <v>141</v>
      </c>
      <c r="D2" t="s" s="65">
        <v>142</v>
      </c>
      <c r="E2" t="s" s="65">
        <v>143</v>
      </c>
      <c r="F2" t="s" s="65">
        <v>144</v>
      </c>
      <c r="G2" t="s" s="65">
        <v>145</v>
      </c>
      <c r="H2" t="s" s="65">
        <v>146</v>
      </c>
      <c r="I2" t="s" s="65">
        <v>147</v>
      </c>
      <c r="J2" t="s" s="65">
        <v>148</v>
      </c>
      <c r="K2" t="s" s="164">
        <v>149</v>
      </c>
      <c r="L2" t="s" s="165">
        <v>150</v>
      </c>
      <c r="M2" t="s" s="165">
        <v>151</v>
      </c>
      <c r="N2" t="s" s="165">
        <v>152</v>
      </c>
      <c r="O2" t="s" s="165">
        <v>153</v>
      </c>
    </row>
    <row r="3" ht="22.6" customHeight="1">
      <c r="A3" s="166">
        <v>2026</v>
      </c>
      <c r="B3" s="167" cm="1">
        <f t="array" ref="B3">SUM(D3:H3)</f>
        <v>2024648562.45358</v>
      </c>
      <c r="C3" s="168" cm="1">
        <f t="array" ref="C3">I3+J3</f>
        <v>0</v>
      </c>
      <c r="D3" s="85">
        <v>216000000</v>
      </c>
      <c r="E3" s="85">
        <v>90000000</v>
      </c>
      <c r="F3" s="85"/>
      <c r="G3" s="85" cm="1">
        <f t="array" ref="G3">519168000*(1+4%)</f>
        <v>539934720</v>
      </c>
      <c r="H3" s="85">
        <v>1178713842.45358</v>
      </c>
      <c r="I3" s="168"/>
      <c r="J3" s="168"/>
      <c r="K3" s="169" cm="1">
        <f t="array" ref="K3">SUM(L3:O3)</f>
        <v>0</v>
      </c>
      <c r="L3" s="37"/>
      <c r="M3" s="37"/>
      <c r="N3" s="37"/>
      <c r="O3" s="170"/>
    </row>
    <row r="4" ht="22.5" customHeight="1">
      <c r="A4" s="166">
        <v>2027</v>
      </c>
      <c r="B4" s="171" cm="1">
        <f t="array" ref="B4">SUM(D4:H4)</f>
        <v>2058698044.27683</v>
      </c>
      <c r="C4" s="172" cm="1">
        <f t="array" ref="C4">I4+J4</f>
        <v>0</v>
      </c>
      <c r="D4" s="91" cm="1">
        <f t="array" ref="D4">D3*(1+4%)</f>
        <v>224640000</v>
      </c>
      <c r="E4" s="91" cm="1">
        <f t="array" ref="E4">E3*(1+4%)</f>
        <v>93600000</v>
      </c>
      <c r="F4" s="91"/>
      <c r="G4" s="91" cm="1">
        <f t="array" ref="G4">G3*(1+4%)</f>
        <v>561532108.8</v>
      </c>
      <c r="H4" s="91">
        <v>1178925935.47683</v>
      </c>
      <c r="I4" s="172"/>
      <c r="J4" s="172"/>
      <c r="K4" s="42" cm="1">
        <f t="array" ref="K4">SUM(L4:O4)</f>
        <v>0</v>
      </c>
      <c r="L4" s="44"/>
      <c r="M4" s="44"/>
      <c r="N4" s="44"/>
      <c r="O4" s="173"/>
    </row>
    <row r="5" ht="22.5" customHeight="1">
      <c r="A5" s="166">
        <v>2028</v>
      </c>
      <c r="B5" s="167" cm="1">
        <f t="array" ref="B5">SUM(D5:H5)</f>
        <v>2207221021.65209</v>
      </c>
      <c r="C5" s="168" cm="1">
        <f t="array" ref="C5">I5+J5</f>
        <v>0</v>
      </c>
      <c r="D5" s="85" cm="1">
        <f t="array" ref="D5">D4*(1+4%)</f>
        <v>233625600</v>
      </c>
      <c r="E5" s="85" cm="1">
        <f t="array" ref="E5">E4*(1+4%)</f>
        <v>97344000</v>
      </c>
      <c r="F5" s="85"/>
      <c r="G5" s="85" cm="1">
        <f t="array" ref="G5">G4*(1+4%)</f>
        <v>583993393.152</v>
      </c>
      <c r="H5" s="85">
        <v>1292258028.50009</v>
      </c>
      <c r="I5" s="168"/>
      <c r="J5" s="168"/>
      <c r="K5" s="48" cm="1">
        <f t="array" ref="K5">SUM(L5:O5)</f>
        <v>0</v>
      </c>
      <c r="L5" s="50"/>
      <c r="M5" s="50"/>
      <c r="N5" s="50"/>
      <c r="O5" s="174"/>
    </row>
    <row r="6" ht="22.5" customHeight="1">
      <c r="A6" s="166">
        <v>2029</v>
      </c>
      <c r="B6" s="171" cm="1">
        <f t="array" ref="B6">SUM(D6:H6)</f>
        <v>2329459717.96753</v>
      </c>
      <c r="C6" s="172" cm="1">
        <f t="array" ref="C6">I6+J6</f>
        <v>0</v>
      </c>
      <c r="D6" s="91" cm="1">
        <f t="array" ref="D6">D5*(1+4%)</f>
        <v>242970624</v>
      </c>
      <c r="E6" s="91" cm="1">
        <f t="array" ref="E6">E5*(1+4%)</f>
        <v>101237760</v>
      </c>
      <c r="F6" s="91"/>
      <c r="G6" s="91" cm="1">
        <f t="array" ref="G6">G5*(1+4%)</f>
        <v>607353128.87808</v>
      </c>
      <c r="H6" s="91">
        <v>1377898205.08945</v>
      </c>
      <c r="I6" s="172"/>
      <c r="J6" s="172"/>
      <c r="K6" s="42" cm="1">
        <f t="array" ref="K6">SUM(L6:O6)</f>
        <v>0</v>
      </c>
      <c r="L6" s="44"/>
      <c r="M6" s="44"/>
      <c r="N6" s="44"/>
      <c r="O6" s="173"/>
    </row>
    <row r="7" ht="22.5" customHeight="1">
      <c r="A7" s="166">
        <v>2030</v>
      </c>
      <c r="B7" s="167" cm="1">
        <f t="array" ref="B7">SUM(D7:H7)</f>
        <v>2571560550.57568</v>
      </c>
      <c r="C7" s="168" cm="1">
        <f t="array" ref="C7">I7+J7</f>
        <v>0</v>
      </c>
      <c r="D7" s="85" cm="1">
        <f t="array" ref="D7">D6*(1+4%)</f>
        <v>252689448.96</v>
      </c>
      <c r="E7" s="85" cm="1">
        <f t="array" ref="E7">E6*(1+4%)</f>
        <v>105287270.4</v>
      </c>
      <c r="F7" s="85"/>
      <c r="G7" s="85" cm="1">
        <f t="array" ref="G7">G6*(1+4%)</f>
        <v>631647254.033203</v>
      </c>
      <c r="H7" s="85">
        <v>1581936577.18248</v>
      </c>
      <c r="I7" s="168"/>
      <c r="J7" s="168"/>
      <c r="K7" s="48" cm="1">
        <f t="array" ref="K7">SUM(L7:O7)</f>
        <v>0</v>
      </c>
      <c r="L7" s="50"/>
      <c r="M7" s="50"/>
      <c r="N7" s="50"/>
      <c r="O7" s="174"/>
    </row>
    <row r="8" ht="22.5" customHeight="1">
      <c r="A8" s="166">
        <v>2031</v>
      </c>
      <c r="B8" s="171" cm="1">
        <f t="array" ref="B8">SUM(D8:H8)</f>
        <v>2611145509.51141</v>
      </c>
      <c r="C8" s="172" cm="1">
        <f t="array" ref="C8">I8+J8</f>
        <v>0</v>
      </c>
      <c r="D8" s="91" cm="1">
        <f t="array" ref="D8">D7*(1+4%)</f>
        <v>262797026.9184</v>
      </c>
      <c r="E8" s="91" cm="1">
        <f t="array" ref="E8">E7*(1+4%)</f>
        <v>109498761.216</v>
      </c>
      <c r="F8" s="91"/>
      <c r="G8" s="91" cm="1">
        <f t="array" ref="G8">G7*(1+4%)</f>
        <v>656913144.194531</v>
      </c>
      <c r="H8" s="91">
        <v>1581936577.18248</v>
      </c>
      <c r="I8" s="172"/>
      <c r="J8" s="172"/>
      <c r="K8" s="42" cm="1">
        <f t="array" ref="K8">SUM(L8:O8)</f>
        <v>0</v>
      </c>
      <c r="L8" s="44"/>
      <c r="M8" s="44"/>
      <c r="N8" s="44"/>
      <c r="O8" s="173"/>
    </row>
    <row r="9" ht="22.5" customHeight="1">
      <c r="A9" s="166">
        <v>2032</v>
      </c>
      <c r="B9" s="167" cm="1">
        <f t="array" ref="B9">SUM(D9:H9)</f>
        <v>2652313866.80457</v>
      </c>
      <c r="C9" s="168" cm="1">
        <f t="array" ref="C9">I9+J9</f>
        <v>0</v>
      </c>
      <c r="D9" s="85" cm="1">
        <f t="array" ref="D9">D8*(1+4%)</f>
        <v>273308907.995136</v>
      </c>
      <c r="E9" s="85" cm="1">
        <f t="array" ref="E9">E8*(1+4%)</f>
        <v>113878711.66464</v>
      </c>
      <c r="F9" s="85"/>
      <c r="G9" s="85" cm="1">
        <f t="array" ref="G9">G8*(1+4%)</f>
        <v>683189669.962312</v>
      </c>
      <c r="H9" s="85">
        <v>1581936577.18248</v>
      </c>
      <c r="I9" s="168"/>
      <c r="J9" s="168"/>
      <c r="K9" s="48" cm="1">
        <f t="array" ref="K9">SUM(L9:O9)</f>
        <v>0</v>
      </c>
      <c r="L9" s="50"/>
      <c r="M9" s="50"/>
      <c r="N9" s="50"/>
      <c r="O9" s="174"/>
    </row>
    <row r="10" ht="22.5" customHeight="1">
      <c r="A10" s="166">
        <v>2033</v>
      </c>
      <c r="B10" s="171" cm="1">
        <f t="array" ref="B10">SUM(D10:H10)</f>
        <v>2695128958.38945</v>
      </c>
      <c r="C10" s="172" cm="1">
        <f t="array" ref="C10">I10+J10</f>
        <v>0</v>
      </c>
      <c r="D10" s="91" cm="1">
        <f t="array" ref="D10">D9*(1+4%)</f>
        <v>284241264.314941</v>
      </c>
      <c r="E10" s="91" cm="1">
        <f t="array" ref="E10">E9*(1+4%)</f>
        <v>118433860.131226</v>
      </c>
      <c r="F10" s="91"/>
      <c r="G10" s="91" cm="1">
        <f t="array" ref="G10">G9*(1+4%)</f>
        <v>710517256.7608041</v>
      </c>
      <c r="H10" s="91">
        <v>1581936577.18248</v>
      </c>
      <c r="I10" s="172"/>
      <c r="J10" s="172"/>
      <c r="K10" s="42" cm="1">
        <f t="array" ref="K10">SUM(L10:O10)</f>
        <v>0</v>
      </c>
      <c r="L10" s="44"/>
      <c r="M10" s="44"/>
      <c r="N10" s="44"/>
      <c r="O10" s="173"/>
    </row>
    <row r="11" ht="22.5" customHeight="1">
      <c r="A11" s="166">
        <v>2034</v>
      </c>
      <c r="B11" s="167" cm="1">
        <f t="array" ref="B11">SUM(D11:H11)</f>
        <v>2739656653.63773</v>
      </c>
      <c r="C11" s="168" cm="1">
        <f t="array" ref="C11">I11+J11</f>
        <v>0</v>
      </c>
      <c r="D11" s="85" cm="1">
        <f t="array" ref="D11">D10*(1+4%)</f>
        <v>295610914.887539</v>
      </c>
      <c r="E11" s="85" cm="1">
        <f t="array" ref="E11">E10*(1+4%)</f>
        <v>123171214.536475</v>
      </c>
      <c r="F11" s="85"/>
      <c r="G11" s="85" cm="1">
        <f t="array" ref="G11">G10*(1+4%)</f>
        <v>738937947.0312361</v>
      </c>
      <c r="H11" s="85">
        <v>1581936577.18248</v>
      </c>
      <c r="I11" s="168"/>
      <c r="J11" s="168"/>
      <c r="K11" s="48" cm="1">
        <f t="array" ref="K11">SUM(L11:O11)</f>
        <v>0</v>
      </c>
      <c r="L11" s="50"/>
      <c r="M11" s="50"/>
      <c r="N11" s="50"/>
      <c r="O11" s="174"/>
    </row>
    <row r="12" ht="22.5" customHeight="1">
      <c r="A12" s="166">
        <v>2035</v>
      </c>
      <c r="B12" s="171" cm="1">
        <f t="array" ref="B12">SUM(D12:H12)</f>
        <v>2785965456.69594</v>
      </c>
      <c r="C12" s="172" cm="1">
        <f t="array" ref="C12">I12+J12</f>
        <v>0</v>
      </c>
      <c r="D12" s="91" cm="1">
        <f t="array" ref="D12">D11*(1+4%)</f>
        <v>307435351.483041</v>
      </c>
      <c r="E12" s="91" cm="1">
        <f t="array" ref="E12">E11*(1+4%)</f>
        <v>128098063.117934</v>
      </c>
      <c r="F12" s="91"/>
      <c r="G12" s="91" cm="1">
        <f t="array" ref="G12">G11*(1+4%)</f>
        <v>768495464.912485</v>
      </c>
      <c r="H12" s="91">
        <v>1581936577.18248</v>
      </c>
      <c r="I12" s="172"/>
      <c r="J12" s="172"/>
      <c r="K12" s="42" cm="1">
        <f t="array" ref="K12">SUM(L12:O12)</f>
        <v>0</v>
      </c>
      <c r="L12" s="44"/>
      <c r="M12" s="44"/>
      <c r="N12" s="44"/>
      <c r="O12" s="173"/>
    </row>
    <row r="13" ht="22.5" customHeight="1">
      <c r="A13" s="166">
        <v>2036</v>
      </c>
      <c r="B13" s="167" cm="1">
        <f t="array" ref="B13">SUM(D13:H13)</f>
        <v>2834126611.87648</v>
      </c>
      <c r="C13" s="168" cm="1">
        <f t="array" ref="C13">I13+J13</f>
        <v>0</v>
      </c>
      <c r="D13" s="85" cm="1">
        <f t="array" ref="D13">D12*(1+4%)</f>
        <v>319732765.542363</v>
      </c>
      <c r="E13" s="85" cm="1">
        <f t="array" ref="E13">E12*(1+4%)</f>
        <v>133221985.642651</v>
      </c>
      <c r="F13" s="85"/>
      <c r="G13" s="85" cm="1">
        <f t="array" ref="G13">G12*(1+4%)</f>
        <v>799235283.508984</v>
      </c>
      <c r="H13" s="85">
        <v>1581936577.18248</v>
      </c>
      <c r="I13" s="168"/>
      <c r="J13" s="168"/>
      <c r="K13" s="48" cm="1">
        <f t="array" ref="K13">SUM(L13:O13)</f>
        <v>0</v>
      </c>
      <c r="L13" s="50"/>
      <c r="M13" s="50"/>
      <c r="N13" s="50"/>
      <c r="O13" s="174"/>
    </row>
    <row r="14" ht="22.5" customHeight="1">
      <c r="A14" s="166">
        <v>2037</v>
      </c>
      <c r="B14" s="171" cm="1">
        <f t="array" ref="B14">SUM(D14:H14)</f>
        <v>2884214213.26424</v>
      </c>
      <c r="C14" s="172" cm="1">
        <f t="array" ref="C14">I14+J14</f>
        <v>0</v>
      </c>
      <c r="D14" s="91" cm="1">
        <f t="array" ref="D14">D13*(1+4%)</f>
        <v>332522076.164058</v>
      </c>
      <c r="E14" s="91" cm="1">
        <f t="array" ref="E14">E13*(1+4%)</f>
        <v>138550865.068357</v>
      </c>
      <c r="F14" s="91"/>
      <c r="G14" s="91" cm="1">
        <f t="array" ref="G14">G13*(1+4%)</f>
        <v>831204694.8493429</v>
      </c>
      <c r="H14" s="91">
        <v>1581936577.18248</v>
      </c>
      <c r="I14" s="172"/>
      <c r="J14" s="172"/>
      <c r="K14" s="42" cm="1">
        <f t="array" ref="K14">SUM(L14:O14)</f>
        <v>0</v>
      </c>
      <c r="L14" s="44"/>
      <c r="M14" s="44"/>
      <c r="N14" s="44"/>
      <c r="O14" s="173"/>
    </row>
    <row r="15" ht="22.5" customHeight="1">
      <c r="A15" s="166">
        <v>2038</v>
      </c>
      <c r="B15" s="167" cm="1">
        <f t="array" ref="B15">SUM(D15:H15)</f>
        <v>2817888145.1738</v>
      </c>
      <c r="C15" s="168" cm="1">
        <f t="array" ref="C15">I15+J15</f>
        <v>0</v>
      </c>
      <c r="D15" s="85" cm="1">
        <f t="array" ref="D15">D14*(1+4%)</f>
        <v>345822959.21062</v>
      </c>
      <c r="E15" s="85" cm="1">
        <f t="array" ref="E15">E14*(1+4%)</f>
        <v>144092899.671091</v>
      </c>
      <c r="F15" s="85"/>
      <c r="G15" s="85" cm="1">
        <f t="array" ref="G15">G14*(1+4%)</f>
        <v>864452882.643317</v>
      </c>
      <c r="H15" s="85">
        <v>1463519403.64877</v>
      </c>
      <c r="I15" s="168"/>
      <c r="J15" s="168"/>
      <c r="K15" s="48" cm="1">
        <f t="array" ref="K15">SUM(L15:O15)</f>
        <v>0</v>
      </c>
      <c r="L15" s="50"/>
      <c r="M15" s="50"/>
      <c r="N15" s="50"/>
      <c r="O15" s="174"/>
    </row>
    <row r="16" ht="22.5" customHeight="1">
      <c r="A16" s="166">
        <v>2039</v>
      </c>
      <c r="B16" s="171" cm="1">
        <f t="array" ref="B16">SUM(D16:H16)</f>
        <v>2872062894.8348</v>
      </c>
      <c r="C16" s="172" cm="1">
        <f t="array" ref="C16">I16+J16</f>
        <v>0</v>
      </c>
      <c r="D16" s="91" cm="1">
        <f t="array" ref="D16">D15*(1+4%)</f>
        <v>359655877.579045</v>
      </c>
      <c r="E16" s="91" cm="1">
        <f t="array" ref="E16">E15*(1+4%)</f>
        <v>149856615.657935</v>
      </c>
      <c r="F16" s="91"/>
      <c r="G16" s="91" cm="1">
        <f t="array" ref="G16">G15*(1+4%)</f>
        <v>899030997.9490499</v>
      </c>
      <c r="H16" s="91">
        <v>1463519403.64877</v>
      </c>
      <c r="I16" s="172"/>
      <c r="J16" s="172"/>
      <c r="K16" s="42" cm="1">
        <f t="array" ref="K16">SUM(L16:O16)</f>
        <v>0</v>
      </c>
      <c r="L16" s="44"/>
      <c r="M16" s="44"/>
      <c r="N16" s="44"/>
      <c r="O16" s="173"/>
    </row>
    <row r="17" ht="22.5" customHeight="1">
      <c r="A17" s="166">
        <v>2040</v>
      </c>
      <c r="B17" s="167" cm="1">
        <f t="array" ref="B17">SUM(D17:H17)</f>
        <v>2928404634.48224</v>
      </c>
      <c r="C17" s="168" cm="1">
        <f t="array" ref="C17">I17+J17</f>
        <v>0</v>
      </c>
      <c r="D17" s="85" cm="1">
        <f t="array" ref="D17">D16*(1+4%)</f>
        <v>374042112.682207</v>
      </c>
      <c r="E17" s="85" cm="1">
        <f t="array" ref="E17">E16*(1+4%)</f>
        <v>155850880.284252</v>
      </c>
      <c r="F17" s="85"/>
      <c r="G17" s="85" cm="1">
        <f t="array" ref="G17">G16*(1+4%)</f>
        <v>934992237.867012</v>
      </c>
      <c r="H17" s="85">
        <v>1463519403.64877</v>
      </c>
      <c r="I17" s="168"/>
      <c r="J17" s="168"/>
      <c r="K17" s="48" cm="1">
        <f t="array" ref="K17">SUM(L17:O17)</f>
        <v>0</v>
      </c>
      <c r="L17" s="50"/>
      <c r="M17" s="50"/>
      <c r="N17" s="50"/>
      <c r="O17" s="174"/>
    </row>
    <row r="18" ht="22.5" customHeight="1">
      <c r="A18" s="166">
        <v>2041</v>
      </c>
      <c r="B18" s="171" cm="1">
        <f t="array" ref="B18">SUM(D18:H18)</f>
        <v>2987000043.71558</v>
      </c>
      <c r="C18" s="172" cm="1">
        <f t="array" ref="C18">I18+J18</f>
        <v>0</v>
      </c>
      <c r="D18" s="91" cm="1">
        <f t="array" ref="D18">D17*(1+4%)</f>
        <v>389003797.189495</v>
      </c>
      <c r="E18" s="91" cm="1">
        <f t="array" ref="E18">E17*(1+4%)</f>
        <v>162084915.495622</v>
      </c>
      <c r="F18" s="91"/>
      <c r="G18" s="91" cm="1">
        <f t="array" ref="G18">G17*(1+4%)</f>
        <v>972391927.3816921</v>
      </c>
      <c r="H18" s="91">
        <v>1463519403.64877</v>
      </c>
      <c r="I18" s="172"/>
      <c r="J18" s="172"/>
      <c r="K18" s="42" cm="1">
        <f t="array" ref="K18">SUM(L18:O18)</f>
        <v>0</v>
      </c>
      <c r="L18" s="44"/>
      <c r="M18" s="44"/>
      <c r="N18" s="44"/>
      <c r="O18" s="173"/>
    </row>
    <row r="19" ht="22.5" customHeight="1">
      <c r="A19" s="166">
        <v>2042</v>
      </c>
      <c r="B19" s="167" cm="1">
        <f t="array" ref="B19">SUM(D19:H19)</f>
        <v>3047939269.31825</v>
      </c>
      <c r="C19" s="168" cm="1">
        <f t="array" ref="C19">I19+J19</f>
        <v>0</v>
      </c>
      <c r="D19" s="85" cm="1">
        <f t="array" ref="D19">D18*(1+4%)</f>
        <v>404563949.077075</v>
      </c>
      <c r="E19" s="85" cm="1">
        <f t="array" ref="E19">E18*(1+4%)</f>
        <v>168568312.115447</v>
      </c>
      <c r="F19" s="85"/>
      <c r="G19" s="85" cm="1">
        <f t="array" ref="G19">G18*(1+4%)</f>
        <v>1011287604.47696</v>
      </c>
      <c r="H19" s="85">
        <v>1463519403.64877</v>
      </c>
      <c r="I19" s="168"/>
      <c r="J19" s="168"/>
      <c r="K19" s="48" cm="1">
        <f t="array" ref="K19">SUM(L19:O19)</f>
        <v>0</v>
      </c>
      <c r="L19" s="50"/>
      <c r="M19" s="50"/>
      <c r="N19" s="50"/>
      <c r="O19" s="174"/>
    </row>
    <row r="20" ht="22.5" customHeight="1">
      <c r="A20" s="166">
        <v>2043</v>
      </c>
      <c r="B20" s="171" cm="1">
        <f t="array" ref="B20">SUM(D20:H20)</f>
        <v>3111316063.94503</v>
      </c>
      <c r="C20" s="172" cm="1">
        <f t="array" ref="C20">I20+J20</f>
        <v>0</v>
      </c>
      <c r="D20" s="91" cm="1">
        <f t="array" ref="D20">D19*(1+4%)</f>
        <v>420746507.040158</v>
      </c>
      <c r="E20" s="91" cm="1">
        <f t="array" ref="E20">E19*(1+4%)</f>
        <v>175311044.600065</v>
      </c>
      <c r="F20" s="91"/>
      <c r="G20" s="91" cm="1">
        <f t="array" ref="G20">G19*(1+4%)</f>
        <v>1051739108.65604</v>
      </c>
      <c r="H20" s="91">
        <v>1463519403.64877</v>
      </c>
      <c r="I20" s="172"/>
      <c r="J20" s="172"/>
      <c r="K20" s="42" cm="1">
        <f t="array" ref="K20">SUM(L20:O20)</f>
        <v>0</v>
      </c>
      <c r="L20" s="44"/>
      <c r="M20" s="44"/>
      <c r="N20" s="44"/>
      <c r="O20" s="173"/>
    </row>
    <row r="21" ht="22.6" customHeight="1">
      <c r="A21" s="166">
        <v>2044</v>
      </c>
      <c r="B21" s="167" cm="1">
        <f t="array" ref="B21">SUM(D21:H21)</f>
        <v>3177227930.35688</v>
      </c>
      <c r="C21" s="168" cm="1">
        <f t="array" ref="C21">I21+J21</f>
        <v>0</v>
      </c>
      <c r="D21" s="85" cm="1">
        <f t="array" ref="D21">D20*(1+4%)</f>
        <v>437576367.321764</v>
      </c>
      <c r="E21" s="85" cm="1">
        <f t="array" ref="E21">E20*(1+4%)</f>
        <v>182323486.384068</v>
      </c>
      <c r="F21" s="85"/>
      <c r="G21" s="85" cm="1">
        <f t="array" ref="G21">G20*(1+4%)</f>
        <v>1093808673.00228</v>
      </c>
      <c r="H21" s="85">
        <v>1463519403.64877</v>
      </c>
      <c r="I21" s="168"/>
      <c r="J21" s="168"/>
      <c r="K21" s="175" cm="1">
        <f t="array" ref="K21">SUM(L21:O21)</f>
        <v>0</v>
      </c>
      <c r="L21" s="176"/>
      <c r="M21" s="176"/>
      <c r="N21" s="176"/>
      <c r="O21" s="177"/>
    </row>
    <row r="22" ht="22.35" customHeight="1">
      <c r="A22" s="69"/>
      <c r="B22" s="69"/>
      <c r="C22" s="178"/>
      <c r="D22" s="72"/>
      <c r="E22" s="72"/>
      <c r="F22" s="179"/>
      <c r="G22" s="179"/>
      <c r="H22" s="72"/>
      <c r="I22" s="180"/>
      <c r="J22" s="69"/>
      <c r="K22" s="181"/>
      <c r="L22" s="181"/>
      <c r="M22" s="181"/>
      <c r="N22" s="181"/>
      <c r="O22" s="182" cm="1">
        <f t="array" ref="O22">SUM(O3:O21)</f>
        <v>0</v>
      </c>
    </row>
  </sheetData>
  <mergeCells count="1">
    <mergeCell ref="A1:O1"/>
  </mergeCells>
  <conditionalFormatting sqref="C3:C22 I3:J21">
    <cfRule type="cellIs" dxfId="3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5.91406" style="183" customWidth="1"/>
    <col min="2" max="2" width="16.0391" style="183" customWidth="1"/>
    <col min="3" max="3" width="16.1016" style="183" customWidth="1"/>
    <col min="4" max="4" width="16.3516" style="183" customWidth="1"/>
    <col min="5" max="5" width="12.1016" style="183" customWidth="1"/>
    <col min="6" max="6" width="16.3516" style="183" customWidth="1"/>
    <col min="7" max="7" width="12.1016" style="183" customWidth="1"/>
    <col min="8" max="10" width="17.6016" style="183" customWidth="1"/>
    <col min="11" max="16384" width="16.3516" style="183" customWidth="1"/>
  </cols>
  <sheetData>
    <row r="1" ht="30" customHeight="1">
      <c r="A1" t="s" s="108">
        <v>154</v>
      </c>
      <c r="B1" s="108"/>
      <c r="C1" s="108"/>
      <c r="D1" s="108"/>
      <c r="E1" s="108"/>
      <c r="F1" s="108"/>
      <c r="G1" s="108"/>
      <c r="H1" s="108"/>
      <c r="I1" s="108"/>
      <c r="J1" s="108"/>
    </row>
    <row r="2" ht="22.35" customHeight="1">
      <c r="A2" s="163"/>
      <c r="B2" t="s" s="67">
        <v>155</v>
      </c>
      <c r="C2" t="s" s="67">
        <v>156</v>
      </c>
      <c r="D2" t="s" s="67">
        <v>157</v>
      </c>
      <c r="E2" t="s" s="67">
        <v>158</v>
      </c>
      <c r="F2" t="s" s="67">
        <v>159</v>
      </c>
      <c r="G2" t="s" s="67">
        <v>160</v>
      </c>
      <c r="H2" t="s" s="65">
        <v>161</v>
      </c>
      <c r="I2" t="s" s="65">
        <v>162</v>
      </c>
      <c r="J2" t="s" s="164">
        <v>163</v>
      </c>
    </row>
    <row r="3" ht="22.6" customHeight="1">
      <c r="A3" s="166">
        <v>2026</v>
      </c>
      <c r="B3" s="167" cm="1">
        <f t="array" ref="B3">F3+G3</f>
        <v>-80000000</v>
      </c>
      <c r="C3" s="184" cm="1">
        <f t="array" ref="C3">I3+H3+D3+E3</f>
        <v>-1683278000</v>
      </c>
      <c r="D3" s="85">
        <v>-1335790000</v>
      </c>
      <c r="E3" s="85">
        <v>-347488000</v>
      </c>
      <c r="F3" s="85">
        <v>0</v>
      </c>
      <c r="G3" s="85">
        <v>-80000000</v>
      </c>
      <c r="H3" s="85"/>
      <c r="I3" s="85"/>
      <c r="J3" s="170" cm="1">
        <f t="array" ref="J3">I3+H3</f>
        <v>0</v>
      </c>
    </row>
    <row r="4" ht="22.5" customHeight="1">
      <c r="A4" s="166">
        <v>2027</v>
      </c>
      <c r="B4" s="171" cm="1">
        <f t="array" ref="B4">F4+G4</f>
        <v>-220257950</v>
      </c>
      <c r="C4" s="185" cm="1">
        <f t="array" ref="C4">I4+H4+D4+E4</f>
        <v>-1683278000</v>
      </c>
      <c r="D4" s="91" cm="1">
        <f t="array" ref="D4">D3</f>
        <v>-1335790000</v>
      </c>
      <c r="E4" s="91" cm="1">
        <f t="array" ref="E4">E3</f>
        <v>-347488000</v>
      </c>
      <c r="F4" s="186" cm="1">
        <f t="array" ref="F4">D3*'Info - danh-muc-2026-03-17 5-1'!$F$39</f>
        <v>-140257950</v>
      </c>
      <c r="G4" s="186" cm="1">
        <f t="array" ref="G4">G3</f>
        <v>-80000000</v>
      </c>
      <c r="H4" s="186" cm="1">
        <f t="array" ref="H4">H$22*J3</f>
        <v>0</v>
      </c>
      <c r="I4" s="186"/>
      <c r="J4" s="173" cm="1">
        <f t="array" ref="J4">J3+I4+H4</f>
        <v>0</v>
      </c>
    </row>
    <row r="5" ht="22.5" customHeight="1">
      <c r="A5" s="166">
        <v>2028</v>
      </c>
      <c r="B5" s="167" cm="1">
        <f t="array" ref="B5">F5+G5</f>
        <v>-220257950</v>
      </c>
      <c r="C5" s="184" cm="1">
        <f t="array" ref="C5">I5+H5+D5+E5</f>
        <v>-1683278000</v>
      </c>
      <c r="D5" s="85" cm="1">
        <f t="array" ref="D5">D4</f>
        <v>-1335790000</v>
      </c>
      <c r="E5" s="85" cm="1">
        <f t="array" ref="E5">E4</f>
        <v>-347488000</v>
      </c>
      <c r="F5" s="50" cm="1">
        <f t="array" ref="F5">D4*'Info - danh-muc-2026-03-17 5-1'!$F$39</f>
        <v>-140257950</v>
      </c>
      <c r="G5" s="50" cm="1">
        <f t="array" ref="G5">G4</f>
        <v>-80000000</v>
      </c>
      <c r="H5" s="50" cm="1">
        <f t="array" ref="H5">H$22*J4</f>
        <v>0</v>
      </c>
      <c r="I5" s="50"/>
      <c r="J5" s="174" cm="1">
        <f t="array" ref="J5">J4+I5+H5</f>
        <v>0</v>
      </c>
    </row>
    <row r="6" ht="22.5" customHeight="1">
      <c r="A6" s="166">
        <v>2029</v>
      </c>
      <c r="B6" s="171" cm="1">
        <f t="array" ref="B6">F6+G6</f>
        <v>-220257950</v>
      </c>
      <c r="C6" s="185" cm="1">
        <f t="array" ref="C6">I6+H6+D6+E6</f>
        <v>-1683278000</v>
      </c>
      <c r="D6" s="91" cm="1">
        <f t="array" ref="D6">D5</f>
        <v>-1335790000</v>
      </c>
      <c r="E6" s="91" cm="1">
        <f t="array" ref="E6">E5</f>
        <v>-347488000</v>
      </c>
      <c r="F6" s="44" cm="1">
        <f t="array" ref="F6">D5*'Info - danh-muc-2026-03-17 5-1'!$F$39</f>
        <v>-140257950</v>
      </c>
      <c r="G6" s="44" cm="1">
        <f t="array" ref="G6">G5</f>
        <v>-80000000</v>
      </c>
      <c r="H6" s="44" cm="1">
        <f t="array" ref="H6">H$22*J5</f>
        <v>0</v>
      </c>
      <c r="I6" s="44"/>
      <c r="J6" s="173" cm="1">
        <f t="array" ref="J6">J5+I6+H6</f>
        <v>0</v>
      </c>
    </row>
    <row r="7" ht="22.5" customHeight="1">
      <c r="A7" s="166">
        <v>2030</v>
      </c>
      <c r="B7" s="167" cm="1">
        <f t="array" ref="B7">F7+G7</f>
        <v>-220257950</v>
      </c>
      <c r="C7" s="184" cm="1">
        <f t="array" ref="C7">I7+H7+D7+E7</f>
        <v>-1683278000</v>
      </c>
      <c r="D7" s="85" cm="1">
        <f t="array" ref="D7">D6</f>
        <v>-1335790000</v>
      </c>
      <c r="E7" s="85" cm="1">
        <f t="array" ref="E7">E6</f>
        <v>-347488000</v>
      </c>
      <c r="F7" s="50" cm="1">
        <f t="array" ref="F7">D6*'Info - danh-muc-2026-03-17 5-1'!$F$39</f>
        <v>-140257950</v>
      </c>
      <c r="G7" s="50" cm="1">
        <f t="array" ref="G7">G6</f>
        <v>-80000000</v>
      </c>
      <c r="H7" s="50" cm="1">
        <f t="array" ref="H7">H$22*J6</f>
        <v>0</v>
      </c>
      <c r="I7" s="50"/>
      <c r="J7" s="174" cm="1">
        <f t="array" ref="J7">J6+I7+H7</f>
        <v>0</v>
      </c>
    </row>
    <row r="8" ht="22.5" customHeight="1">
      <c r="A8" s="166">
        <v>2031</v>
      </c>
      <c r="B8" s="171" cm="1">
        <f t="array" ref="B8">F8+G8</f>
        <v>-220257950</v>
      </c>
      <c r="C8" s="185" cm="1">
        <f t="array" ref="C8">I8+H8+D8+E8</f>
        <v>-1683278000</v>
      </c>
      <c r="D8" s="91" cm="1">
        <f t="array" ref="D8">D7</f>
        <v>-1335790000</v>
      </c>
      <c r="E8" s="91" cm="1">
        <f t="array" ref="E8">E7</f>
        <v>-347488000</v>
      </c>
      <c r="F8" s="44" cm="1">
        <f t="array" ref="F8">D7*'Info - danh-muc-2026-03-17 5-1'!$F$39</f>
        <v>-140257950</v>
      </c>
      <c r="G8" s="44" cm="1">
        <f t="array" ref="G8">G7</f>
        <v>-80000000</v>
      </c>
      <c r="H8" s="44" cm="1">
        <f t="array" ref="H8">H$22*J7</f>
        <v>0</v>
      </c>
      <c r="I8" s="44"/>
      <c r="J8" s="173" cm="1">
        <f t="array" ref="J8">J7+I8+H8</f>
        <v>0</v>
      </c>
    </row>
    <row r="9" ht="22.5" customHeight="1">
      <c r="A9" s="166">
        <v>2032</v>
      </c>
      <c r="B9" s="167" cm="1">
        <f t="array" ref="B9">F9+G9</f>
        <v>-220257950</v>
      </c>
      <c r="C9" s="184" cm="1">
        <f t="array" ref="C9">I9+H9+D9+E9</f>
        <v>-1683278000</v>
      </c>
      <c r="D9" s="85" cm="1">
        <f t="array" ref="D9">D8</f>
        <v>-1335790000</v>
      </c>
      <c r="E9" s="85" cm="1">
        <f t="array" ref="E9">E8</f>
        <v>-347488000</v>
      </c>
      <c r="F9" s="50" cm="1">
        <f t="array" ref="F9">D8*'Info - danh-muc-2026-03-17 5-1'!$F$39</f>
        <v>-140257950</v>
      </c>
      <c r="G9" s="50" cm="1">
        <f t="array" ref="G9">G8</f>
        <v>-80000000</v>
      </c>
      <c r="H9" s="50" cm="1">
        <f t="array" ref="H9">H$22*J8</f>
        <v>0</v>
      </c>
      <c r="I9" s="50"/>
      <c r="J9" s="174" cm="1">
        <f t="array" ref="J9">J8+I9+H9</f>
        <v>0</v>
      </c>
    </row>
    <row r="10" ht="22.5" customHeight="1">
      <c r="A10" s="166">
        <v>2033</v>
      </c>
      <c r="B10" s="171" cm="1">
        <f t="array" ref="B10">F10+G10</f>
        <v>-220257950</v>
      </c>
      <c r="C10" s="185" cm="1">
        <f t="array" ref="C10">I10+H10+D10+E10</f>
        <v>-1683278000</v>
      </c>
      <c r="D10" s="91" cm="1">
        <f t="array" ref="D10">D9</f>
        <v>-1335790000</v>
      </c>
      <c r="E10" s="91" cm="1">
        <f t="array" ref="E10">E9</f>
        <v>-347488000</v>
      </c>
      <c r="F10" s="44" cm="1">
        <f t="array" ref="F10">D9*'Info - danh-muc-2026-03-17 5-1'!$F$39</f>
        <v>-140257950</v>
      </c>
      <c r="G10" s="44" cm="1">
        <f t="array" ref="G10">G9</f>
        <v>-80000000</v>
      </c>
      <c r="H10" s="44" cm="1">
        <f t="array" ref="H10">H$22*J9</f>
        <v>0</v>
      </c>
      <c r="I10" s="44"/>
      <c r="J10" s="173" cm="1">
        <f t="array" ref="J10">J9+I10+H10</f>
        <v>0</v>
      </c>
    </row>
    <row r="11" ht="22.5" customHeight="1">
      <c r="A11" s="166">
        <v>2034</v>
      </c>
      <c r="B11" s="167" cm="1">
        <f t="array" ref="B11">F11+G11</f>
        <v>-220257950</v>
      </c>
      <c r="C11" s="184" cm="1">
        <f t="array" ref="C11">I11+H11+D11+E11</f>
        <v>-1683278000</v>
      </c>
      <c r="D11" s="85" cm="1">
        <f t="array" ref="D11">D10</f>
        <v>-1335790000</v>
      </c>
      <c r="E11" s="85" cm="1">
        <f t="array" ref="E11">E10</f>
        <v>-347488000</v>
      </c>
      <c r="F11" s="50" cm="1">
        <f t="array" ref="F11">D10*'Info - danh-muc-2026-03-17 5-1'!$F$39</f>
        <v>-140257950</v>
      </c>
      <c r="G11" s="50" cm="1">
        <f t="array" ref="G11">G10</f>
        <v>-80000000</v>
      </c>
      <c r="H11" s="50" cm="1">
        <f t="array" ref="H11">H$22*J10</f>
        <v>0</v>
      </c>
      <c r="I11" s="50"/>
      <c r="J11" s="174" cm="1">
        <f t="array" ref="J11">J10+I11+H11</f>
        <v>0</v>
      </c>
    </row>
    <row r="12" ht="22.5" customHeight="1">
      <c r="A12" s="166">
        <v>2035</v>
      </c>
      <c r="B12" s="171" cm="1">
        <f t="array" ref="B12">F12+G12</f>
        <v>-220257950</v>
      </c>
      <c r="C12" s="185" cm="1">
        <f t="array" ref="C12">I12+H12+D12+E12</f>
        <v>-1683278000</v>
      </c>
      <c r="D12" s="91" cm="1">
        <f t="array" ref="D12">D11</f>
        <v>-1335790000</v>
      </c>
      <c r="E12" s="91" cm="1">
        <f t="array" ref="E12">E11</f>
        <v>-347488000</v>
      </c>
      <c r="F12" s="44" cm="1">
        <f t="array" ref="F12">D11*'Info - danh-muc-2026-03-17 5-1'!$F$39</f>
        <v>-140257950</v>
      </c>
      <c r="G12" s="44" cm="1">
        <f t="array" ref="G12">G11</f>
        <v>-80000000</v>
      </c>
      <c r="H12" s="44" cm="1">
        <f t="array" ref="H12">H$22*J11</f>
        <v>0</v>
      </c>
      <c r="I12" s="44"/>
      <c r="J12" s="173" cm="1">
        <f t="array" ref="J12">J11+I12+H12</f>
        <v>0</v>
      </c>
    </row>
    <row r="13" ht="22.5" customHeight="1">
      <c r="A13" s="166">
        <v>2036</v>
      </c>
      <c r="B13" s="167" cm="1">
        <f t="array" ref="B13">F13+G13</f>
        <v>-220257950</v>
      </c>
      <c r="C13" s="184" cm="1">
        <f t="array" ref="C13">I13+H13+D13+E13</f>
        <v>-1683278000</v>
      </c>
      <c r="D13" s="85" cm="1">
        <f t="array" ref="D13">D12</f>
        <v>-1335790000</v>
      </c>
      <c r="E13" s="85" cm="1">
        <f t="array" ref="E13">E12</f>
        <v>-347488000</v>
      </c>
      <c r="F13" s="50" cm="1">
        <f t="array" ref="F13">D12*'Info - danh-muc-2026-03-17 5-1'!$F$39</f>
        <v>-140257950</v>
      </c>
      <c r="G13" s="50" cm="1">
        <f t="array" ref="G13">G12</f>
        <v>-80000000</v>
      </c>
      <c r="H13" s="50" cm="1">
        <f t="array" ref="H13">H$22*J12</f>
        <v>0</v>
      </c>
      <c r="I13" s="50"/>
      <c r="J13" s="174" cm="1">
        <f t="array" ref="J13">J12+I13+H13</f>
        <v>0</v>
      </c>
    </row>
    <row r="14" ht="22.5" customHeight="1">
      <c r="A14" s="166">
        <v>2037</v>
      </c>
      <c r="B14" s="171" cm="1">
        <f t="array" ref="B14">F14+G14</f>
        <v>-220257950</v>
      </c>
      <c r="C14" s="185" cm="1">
        <f t="array" ref="C14">I14+H14+D14+E14</f>
        <v>-1683278000</v>
      </c>
      <c r="D14" s="91" cm="1">
        <f t="array" ref="D14">D13</f>
        <v>-1335790000</v>
      </c>
      <c r="E14" s="91" cm="1">
        <f t="array" ref="E14">E13</f>
        <v>-347488000</v>
      </c>
      <c r="F14" s="44" cm="1">
        <f t="array" ref="F14">D13*'Info - danh-muc-2026-03-17 5-1'!$F$39</f>
        <v>-140257950</v>
      </c>
      <c r="G14" s="44" cm="1">
        <f t="array" ref="G14">G13</f>
        <v>-80000000</v>
      </c>
      <c r="H14" s="44" cm="1">
        <f t="array" ref="H14">H$22*J13</f>
        <v>0</v>
      </c>
      <c r="I14" s="44"/>
      <c r="J14" s="173" cm="1">
        <f t="array" ref="J14">J13+I14+H14</f>
        <v>0</v>
      </c>
    </row>
    <row r="15" ht="22.5" customHeight="1">
      <c r="A15" s="166">
        <v>2038</v>
      </c>
      <c r="B15" s="167" cm="1">
        <f t="array" ref="B15">F15+G15</f>
        <v>-220257950</v>
      </c>
      <c r="C15" s="184" cm="1">
        <f t="array" ref="C15">I15+H15+D15+E15</f>
        <v>-1683278000</v>
      </c>
      <c r="D15" s="85" cm="1">
        <f t="array" ref="D15">D14</f>
        <v>-1335790000</v>
      </c>
      <c r="E15" s="85" cm="1">
        <f t="array" ref="E15">E14</f>
        <v>-347488000</v>
      </c>
      <c r="F15" s="50" cm="1">
        <f t="array" ref="F15">D14*'Info - danh-muc-2026-03-17 5-1'!$F$39</f>
        <v>-140257950</v>
      </c>
      <c r="G15" s="50" cm="1">
        <f t="array" ref="G15">G14</f>
        <v>-80000000</v>
      </c>
      <c r="H15" s="50" cm="1">
        <f t="array" ref="H15">H$22*J14</f>
        <v>0</v>
      </c>
      <c r="I15" s="50"/>
      <c r="J15" s="174" cm="1">
        <f t="array" ref="J15">J14+I15+H15</f>
        <v>0</v>
      </c>
    </row>
    <row r="16" ht="22.5" customHeight="1">
      <c r="A16" s="166">
        <v>2039</v>
      </c>
      <c r="B16" s="171" cm="1">
        <f t="array" ref="B16">F16+G16</f>
        <v>-220257950</v>
      </c>
      <c r="C16" s="185" cm="1">
        <f t="array" ref="C16">I16+H16+D16+E16</f>
        <v>-1683278000</v>
      </c>
      <c r="D16" s="91" cm="1">
        <f t="array" ref="D16">D15</f>
        <v>-1335790000</v>
      </c>
      <c r="E16" s="91" cm="1">
        <f t="array" ref="E16">E15</f>
        <v>-347488000</v>
      </c>
      <c r="F16" s="44" cm="1">
        <f t="array" ref="F16">D15*'Info - danh-muc-2026-03-17 5-1'!$F$39</f>
        <v>-140257950</v>
      </c>
      <c r="G16" s="44" cm="1">
        <f t="array" ref="G16">G15</f>
        <v>-80000000</v>
      </c>
      <c r="H16" s="44" cm="1">
        <f t="array" ref="H16">H$22*J15</f>
        <v>0</v>
      </c>
      <c r="I16" s="44"/>
      <c r="J16" s="173" cm="1">
        <f t="array" ref="J16">J15+I16+H16</f>
        <v>0</v>
      </c>
    </row>
    <row r="17" ht="22.5" customHeight="1">
      <c r="A17" s="166">
        <v>2040</v>
      </c>
      <c r="B17" s="167" cm="1">
        <f t="array" ref="B17">F17+G17</f>
        <v>-220257950</v>
      </c>
      <c r="C17" s="184" cm="1">
        <f t="array" ref="C17">I17+H17+D17+E17</f>
        <v>-1683278000</v>
      </c>
      <c r="D17" s="85" cm="1">
        <f t="array" ref="D17">D16</f>
        <v>-1335790000</v>
      </c>
      <c r="E17" s="85" cm="1">
        <f t="array" ref="E17">E16</f>
        <v>-347488000</v>
      </c>
      <c r="F17" s="50" cm="1">
        <f t="array" ref="F17">D16*'Info - danh-muc-2026-03-17 5-1'!$F$39</f>
        <v>-140257950</v>
      </c>
      <c r="G17" s="50" cm="1">
        <f t="array" ref="G17">G16</f>
        <v>-80000000</v>
      </c>
      <c r="H17" s="50" cm="1">
        <f t="array" ref="H17">H$22*J16</f>
        <v>0</v>
      </c>
      <c r="I17" s="50"/>
      <c r="J17" s="174" cm="1">
        <f t="array" ref="J17">J16+I17+H17</f>
        <v>0</v>
      </c>
    </row>
    <row r="18" ht="22.5" customHeight="1">
      <c r="A18" s="166">
        <v>2041</v>
      </c>
      <c r="B18" s="171" cm="1">
        <f t="array" ref="B18">F18+G18</f>
        <v>-220257950</v>
      </c>
      <c r="C18" s="185" cm="1">
        <f t="array" ref="C18">I18+H18+D18+E18</f>
        <v>-1683278000</v>
      </c>
      <c r="D18" s="91" cm="1">
        <f t="array" ref="D18">D17</f>
        <v>-1335790000</v>
      </c>
      <c r="E18" s="91" cm="1">
        <f t="array" ref="E18">E17</f>
        <v>-347488000</v>
      </c>
      <c r="F18" s="44" cm="1">
        <f t="array" ref="F18">D17*'Info - danh-muc-2026-03-17 5-1'!$F$39</f>
        <v>-140257950</v>
      </c>
      <c r="G18" s="44" cm="1">
        <f t="array" ref="G18">G17</f>
        <v>-80000000</v>
      </c>
      <c r="H18" s="44" cm="1">
        <f t="array" ref="H18">H$22*J17</f>
        <v>0</v>
      </c>
      <c r="I18" s="44"/>
      <c r="J18" s="173" cm="1">
        <f t="array" ref="J18">J17+I18+H18</f>
        <v>0</v>
      </c>
    </row>
    <row r="19" ht="22.5" customHeight="1">
      <c r="A19" s="166">
        <v>2042</v>
      </c>
      <c r="B19" s="167" cm="1">
        <f t="array" ref="B19">F19+G19</f>
        <v>-220257950</v>
      </c>
      <c r="C19" s="184" cm="1">
        <f t="array" ref="C19">I19+H19+D19+E19</f>
        <v>-1683278000</v>
      </c>
      <c r="D19" s="85" cm="1">
        <f t="array" ref="D19">D18</f>
        <v>-1335790000</v>
      </c>
      <c r="E19" s="85" cm="1">
        <f t="array" ref="E19">E18</f>
        <v>-347488000</v>
      </c>
      <c r="F19" s="50" cm="1">
        <f t="array" ref="F19">D18*'Info - danh-muc-2026-03-17 5-1'!$F$39</f>
        <v>-140257950</v>
      </c>
      <c r="G19" s="50" cm="1">
        <f t="array" ref="G19">G18</f>
        <v>-80000000</v>
      </c>
      <c r="H19" s="50" cm="1">
        <f t="array" ref="H19">H$22*J18</f>
        <v>0</v>
      </c>
      <c r="I19" s="50"/>
      <c r="J19" s="174" cm="1">
        <f t="array" ref="J19">J18+I19+H19</f>
        <v>0</v>
      </c>
    </row>
    <row r="20" ht="22.5" customHeight="1">
      <c r="A20" s="166">
        <v>2043</v>
      </c>
      <c r="B20" s="171" cm="1">
        <f t="array" ref="B20">F20+G20</f>
        <v>-220257950</v>
      </c>
      <c r="C20" s="185" cm="1">
        <f t="array" ref="C20">I20+H20+D20+E20</f>
        <v>-1683278000</v>
      </c>
      <c r="D20" s="91" cm="1">
        <f t="array" ref="D20">D19</f>
        <v>-1335790000</v>
      </c>
      <c r="E20" s="91" cm="1">
        <f t="array" ref="E20">E19</f>
        <v>-347488000</v>
      </c>
      <c r="F20" s="44" cm="1">
        <f t="array" ref="F20">D19*'Info - danh-muc-2026-03-17 5-1'!$F$39</f>
        <v>-140257950</v>
      </c>
      <c r="G20" s="44" cm="1">
        <f t="array" ref="G20">G19</f>
        <v>-80000000</v>
      </c>
      <c r="H20" s="44" cm="1">
        <f t="array" ref="H20">H$22*J19</f>
        <v>0</v>
      </c>
      <c r="I20" s="44"/>
      <c r="J20" s="173" cm="1">
        <f t="array" ref="J20">J19+I20+H20</f>
        <v>0</v>
      </c>
    </row>
    <row r="21" ht="22.6" customHeight="1">
      <c r="A21" s="166">
        <v>2044</v>
      </c>
      <c r="B21" s="167" cm="1">
        <f t="array" ref="B21">F21+G21</f>
        <v>-220257950</v>
      </c>
      <c r="C21" s="184" cm="1">
        <f t="array" ref="C21">I21+H21+D21+E21</f>
        <v>-1683278000</v>
      </c>
      <c r="D21" s="85" cm="1">
        <f t="array" ref="D21">D20</f>
        <v>-1335790000</v>
      </c>
      <c r="E21" s="85" cm="1">
        <f t="array" ref="E21">E20</f>
        <v>-347488000</v>
      </c>
      <c r="F21" s="187" cm="1">
        <f t="array" ref="F21">D20*'Info - danh-muc-2026-03-17 5-1'!$F$39</f>
        <v>-140257950</v>
      </c>
      <c r="G21" s="187" cm="1">
        <f t="array" ref="G21">G20</f>
        <v>-80000000</v>
      </c>
      <c r="H21" s="187" cm="1">
        <f t="array" ref="H21">H$22*J20</f>
        <v>0</v>
      </c>
      <c r="I21" s="187"/>
      <c r="J21" s="177" cm="1">
        <f t="array" ref="J21">J20+I21+H21</f>
        <v>0</v>
      </c>
    </row>
    <row r="22" ht="22.35" customHeight="1">
      <c r="A22" s="163"/>
      <c r="B22" s="70"/>
      <c r="C22" s="70"/>
      <c r="D22" s="70"/>
      <c r="E22" s="70"/>
      <c r="F22" s="179" cm="1">
        <f t="array" ref="F22">'Info - danh-muc-2026-03-17 5-1'!F39</f>
        <v>0.105</v>
      </c>
      <c r="G22" s="70"/>
      <c r="H22" s="188">
        <v>-0.05</v>
      </c>
      <c r="I22" s="189"/>
      <c r="J22" s="6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B2:Q21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8" customHeight="1" outlineLevelRow="0" outlineLevelCol="0"/>
  <cols>
    <col min="1" max="1" width="2.875" style="190" customWidth="1"/>
    <col min="2" max="2" width="5.23438" style="190" customWidth="1"/>
    <col min="3" max="3" width="14.5547" style="190" customWidth="1"/>
    <col min="4" max="4" width="12.75" style="190" customWidth="1"/>
    <col min="5" max="5" width="14.9531" style="190" customWidth="1"/>
    <col min="6" max="6" width="17.125" style="190" customWidth="1"/>
    <col min="7" max="7" width="12.75" style="190" customWidth="1"/>
    <col min="8" max="8" width="15.1328" style="190" customWidth="1"/>
    <col min="9" max="9" width="17.6328" style="190" customWidth="1"/>
    <col min="10" max="10" width="13.25" style="190" customWidth="1"/>
    <col min="11" max="11" width="15.875" style="190" customWidth="1"/>
    <col min="12" max="12" width="17.0312" style="190" customWidth="1"/>
    <col min="13" max="13" width="12.75" style="190" customWidth="1"/>
    <col min="14" max="14" width="14.875" style="190" customWidth="1"/>
    <col min="15" max="15" width="14.9375" style="190" customWidth="1"/>
    <col min="16" max="17" width="13.25" style="190" customWidth="1"/>
    <col min="18" max="16384" width="16.3516" style="190" customWidth="1"/>
  </cols>
  <sheetData>
    <row r="1" ht="28" customHeight="1">
      <c r="B1" t="s" s="64">
        <v>36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ht="36.35" customHeight="1">
      <c r="B2" s="69"/>
      <c r="C2" t="s" s="191">
        <v>164</v>
      </c>
      <c r="D2" t="s" s="67">
        <v>165</v>
      </c>
      <c r="E2" t="s" s="191">
        <v>166</v>
      </c>
      <c r="F2" t="s" s="191">
        <v>167</v>
      </c>
      <c r="G2" t="s" s="67">
        <v>168</v>
      </c>
      <c r="H2" t="s" s="191">
        <v>169</v>
      </c>
      <c r="I2" t="s" s="191">
        <v>170</v>
      </c>
      <c r="J2" t="s" s="67">
        <v>171</v>
      </c>
      <c r="K2" t="s" s="191">
        <v>172</v>
      </c>
      <c r="L2" t="s" s="191">
        <v>173</v>
      </c>
      <c r="M2" t="s" s="67">
        <v>174</v>
      </c>
      <c r="N2" t="s" s="191">
        <v>175</v>
      </c>
      <c r="O2" t="s" s="192">
        <v>176</v>
      </c>
      <c r="P2" t="s" s="165">
        <v>177</v>
      </c>
      <c r="Q2" t="s" s="192">
        <v>178</v>
      </c>
    </row>
    <row r="3" ht="22.6" customHeight="1">
      <c r="B3" s="193">
        <v>2026</v>
      </c>
      <c r="C3" s="194" cm="1">
        <f t="array" ref="C3">1220000000+'Cash flow - CASH FLOW'!D3</f>
        <v>1000000000</v>
      </c>
      <c r="D3" s="87" cm="1">
        <f t="array" ref="D3">C3*'Info - danh-muc-2026-03-17 5-1'!$F$32</f>
        <v>65000000</v>
      </c>
      <c r="E3" s="195" cm="1">
        <f t="array" ref="E3">C3+D3</f>
        <v>1065000000</v>
      </c>
      <c r="F3" s="195" cm="1">
        <f t="array" ref="F3">1497440000+'Cash flow - CASH FLOW'!K3</f>
        <v>2771609000</v>
      </c>
      <c r="G3" s="87" cm="1">
        <f t="array" ref="G3">(F3)*'Info - danh-muc-2026-03-17 5-1'!$F$34</f>
        <v>221728720</v>
      </c>
      <c r="H3" s="195" cm="1">
        <f t="array" ref="H3">F3+G3</f>
        <v>2993337720</v>
      </c>
      <c r="I3" s="195" cm="1">
        <f t="array" ref="I3">2114622000+'Cash flow - CASH FLOW'!N3</f>
        <v>5937129000</v>
      </c>
      <c r="J3" s="87" cm="1">
        <f t="array" ref="J3">I3*'Info - danh-muc-2026-03-17 5-1'!$F$44</f>
        <v>890569350</v>
      </c>
      <c r="K3" s="195" cm="1">
        <f t="array" ref="K3">I3+J3</f>
        <v>6827698350</v>
      </c>
      <c r="L3" s="195" cm="1">
        <f t="array" ref="L3">424726000+'Cash flow - CASH FLOW'!M3</f>
        <v>1061810500</v>
      </c>
      <c r="M3" s="87" cm="1">
        <f t="array" ref="M3">L3*'Info - danh-muc-2026-03-17 5-1'!$F$41</f>
        <v>95562945</v>
      </c>
      <c r="N3" s="195" cm="1">
        <f t="array" ref="N3">M3+L3</f>
        <v>1157373445</v>
      </c>
      <c r="O3" s="196" cm="1">
        <f t="array" ref="O3">278175000+'Cash flow - CASH FLOW'!L3</f>
        <v>915259500</v>
      </c>
      <c r="P3" s="36" cm="1">
        <f t="array" ref="P3">(O3)*'Info - danh-muc-2026-03-17 5-1'!$F$40</f>
        <v>137288925</v>
      </c>
      <c r="Q3" s="197" cm="1">
        <f t="array" ref="Q3">O3+P3</f>
        <v>1052548425</v>
      </c>
    </row>
    <row r="4" ht="22.5" customHeight="1">
      <c r="B4" s="193">
        <v>2027</v>
      </c>
      <c r="C4" s="198" cm="1">
        <f t="array" ref="C4">E3+'Cash flow - CASH FLOW'!D4</f>
        <v>1065000000</v>
      </c>
      <c r="D4" s="93" cm="1">
        <f t="array" ref="D4">C4*'Info - danh-muc-2026-03-17 5-1'!$F$32</f>
        <v>69225000</v>
      </c>
      <c r="E4" s="199" cm="1">
        <f t="array" ref="E4">C4+D4</f>
        <v>1134225000</v>
      </c>
      <c r="F4" s="199" cm="1">
        <f t="array" ref="F4">H3+'Cash flow - CASH FLOW'!K4</f>
        <v>3098816633.74721</v>
      </c>
      <c r="G4" s="93" cm="1">
        <f t="array" ref="G4">(F4)*'Info - danh-muc-2026-03-17 5-1'!$F$34</f>
        <v>247905330.699777</v>
      </c>
      <c r="H4" s="199" cm="1">
        <f t="array" ref="H4">F4+G4</f>
        <v>3346721964.44699</v>
      </c>
      <c r="I4" s="199" cm="1">
        <f t="array" ref="I4">K3+'Cash flow - CASH FLOW'!N4</f>
        <v>7144135091.24164</v>
      </c>
      <c r="J4" s="93" cm="1">
        <f t="array" ref="J4">I4*'Info - danh-muc-2026-03-17 5-1'!$F$44</f>
        <v>1071620263.68625</v>
      </c>
      <c r="K4" s="199" cm="1">
        <f t="array" ref="K4">I4+J4</f>
        <v>8215755354.92789</v>
      </c>
      <c r="L4" s="199" cm="1">
        <f t="array" ref="L4">N3+'Cash flow - CASH FLOW'!M4</f>
        <v>1210112901.87361</v>
      </c>
      <c r="M4" s="93" cm="1">
        <f t="array" ref="M4">L4*'Info - danh-muc-2026-03-17 5-1'!$F$41</f>
        <v>108910161.168625</v>
      </c>
      <c r="N4" s="199" cm="1">
        <f t="array" ref="N4">M4+L4</f>
        <v>1319023063.04224</v>
      </c>
      <c r="O4" s="200" cm="1">
        <f t="array" ref="O4">Q3+'Cash flow - CASH FLOW'!L4</f>
        <v>1105287881.87361</v>
      </c>
      <c r="P4" s="43" cm="1">
        <f t="array" ref="P4">(O4)*'Info - danh-muc-2026-03-17 5-1'!$F$40</f>
        <v>165793182.281042</v>
      </c>
      <c r="Q4" s="201" cm="1">
        <f t="array" ref="Q4">O4+P4</f>
        <v>1271081064.15465</v>
      </c>
    </row>
    <row r="5" ht="22.5" customHeight="1">
      <c r="B5" s="193">
        <v>2028</v>
      </c>
      <c r="C5" s="194" cm="1">
        <f t="array" ref="C5">E4+'Cash flow - CASH FLOW'!D5</f>
        <v>1134225000</v>
      </c>
      <c r="D5" s="87" cm="1">
        <f t="array" ref="D5">C5*'Info - danh-muc-2026-03-17 5-1'!$F$32</f>
        <v>73724625</v>
      </c>
      <c r="E5" s="195" cm="1">
        <f t="array" ref="E5">C5+D5</f>
        <v>1207949625</v>
      </c>
      <c r="F5" s="195" cm="1">
        <f t="array" ref="F5">H4+'Cash flow - CASH FLOW'!K5</f>
        <v>3426192257.1036</v>
      </c>
      <c r="G5" s="87" cm="1">
        <f t="array" ref="G5">(F5)*'Info - danh-muc-2026-03-17 5-1'!$F$34</f>
        <v>274095380.568288</v>
      </c>
      <c r="H5" s="195" cm="1">
        <f t="array" ref="H5">F5+G5</f>
        <v>3700287637.67189</v>
      </c>
      <c r="I5" s="195" cm="1">
        <f t="array" ref="I5">K4+'Cash flow - CASH FLOW'!N5</f>
        <v>8454166232.89772</v>
      </c>
      <c r="J5" s="87" cm="1">
        <f t="array" ref="J5">I5*'Info - danh-muc-2026-03-17 5-1'!$F$44</f>
        <v>1268124934.93466</v>
      </c>
      <c r="K5" s="195" cm="1">
        <f t="array" ref="K5">I5+J5</f>
        <v>9722291167.83238</v>
      </c>
      <c r="L5" s="195" cm="1">
        <f t="array" ref="L5">N4+'Cash flow - CASH FLOW'!M5</f>
        <v>1358758209.37055</v>
      </c>
      <c r="M5" s="87" cm="1">
        <f t="array" ref="M5">L5*'Info - danh-muc-2026-03-17 5-1'!$F$41</f>
        <v>122288238.84335</v>
      </c>
      <c r="N5" s="195" cm="1">
        <f t="array" ref="N5">M5+L5</f>
        <v>1481046448.2139</v>
      </c>
      <c r="O5" s="202" cm="1">
        <f t="array" ref="O5">Q4+'Cash flow - CASH FLOW'!L5</f>
        <v>1310816210.48296</v>
      </c>
      <c r="P5" s="49" cm="1">
        <f t="array" ref="P5">(O5)*'Info - danh-muc-2026-03-17 5-1'!$F$40</f>
        <v>196622431.572444</v>
      </c>
      <c r="Q5" s="203" cm="1">
        <f t="array" ref="Q5">O5+P5</f>
        <v>1507438642.0554</v>
      </c>
    </row>
    <row r="6" ht="22.5" customHeight="1">
      <c r="B6" s="193">
        <v>2029</v>
      </c>
      <c r="C6" s="198" cm="1">
        <f t="array" ref="C6">E5+'Cash flow - CASH FLOW'!D6</f>
        <v>1207949625</v>
      </c>
      <c r="D6" s="93" cm="1">
        <f t="array" ref="D6">C6*'Info - danh-muc-2026-03-17 5-1'!$F$32</f>
        <v>78516725.625</v>
      </c>
      <c r="E6" s="199" cm="1">
        <f t="array" ref="E6">C6+D6</f>
        <v>1286466350.625</v>
      </c>
      <c r="F6" s="199" cm="1">
        <f t="array" ref="F6">H5+'Cash flow - CASH FLOW'!K6</f>
        <v>3788669308.97102</v>
      </c>
      <c r="G6" s="93" cm="1">
        <f t="array" ref="G6">(F6)*'Info - danh-muc-2026-03-17 5-1'!$F$34</f>
        <v>303093544.717682</v>
      </c>
      <c r="H6" s="199" cm="1">
        <f t="array" ref="H6">F6+G6</f>
        <v>4091762853.6887</v>
      </c>
      <c r="I6" s="199" cm="1">
        <f t="array" ref="I6">K5+'Cash flow - CASH FLOW'!N6</f>
        <v>9987436181.729759</v>
      </c>
      <c r="J6" s="93" cm="1">
        <f t="array" ref="J6">I6*'Info - danh-muc-2026-03-17 5-1'!$F$44</f>
        <v>1498115427.25946</v>
      </c>
      <c r="K6" s="199" cm="1">
        <f t="array" ref="K6">I6+J6</f>
        <v>11485551608.9892</v>
      </c>
      <c r="L6" s="199" cm="1">
        <f t="array" ref="L6">N5+'Cash flow - CASH FLOW'!M6</f>
        <v>1525237283.86346</v>
      </c>
      <c r="M6" s="93" cm="1">
        <f t="array" ref="M6">L6*'Info - danh-muc-2026-03-17 5-1'!$F$41</f>
        <v>137271355.547711</v>
      </c>
      <c r="N6" s="199" cm="1">
        <f t="array" ref="N6">M6+L6</f>
        <v>1662508639.41117</v>
      </c>
      <c r="O6" s="200" cm="1">
        <f t="array" ref="O6">Q5+'Cash flow - CASH FLOW'!L6</f>
        <v>1551629477.70496</v>
      </c>
      <c r="P6" s="43" cm="1">
        <f t="array" ref="P6">(O6)*'Info - danh-muc-2026-03-17 5-1'!$F$40</f>
        <v>232744421.655744</v>
      </c>
      <c r="Q6" s="201" cm="1">
        <f t="array" ref="Q6">O6+P6</f>
        <v>1784373899.3607</v>
      </c>
    </row>
    <row r="7" ht="22.5" customHeight="1">
      <c r="B7" s="193">
        <v>2030</v>
      </c>
      <c r="C7" s="194" cm="1">
        <f t="array" ref="C7">E6+'Cash flow - CASH FLOW'!D7</f>
        <v>1286466350.625</v>
      </c>
      <c r="D7" s="87" cm="1">
        <f t="array" ref="D7">C7*'Info - danh-muc-2026-03-17 5-1'!$F$32</f>
        <v>83620312.79062501</v>
      </c>
      <c r="E7" s="195" cm="1">
        <f t="array" ref="E7">C7+D7</f>
        <v>1370086663.41563</v>
      </c>
      <c r="F7" s="195" cm="1">
        <f t="array" ref="F7">H6+'Cash flow - CASH FLOW'!K7</f>
        <v>4187478846.76675</v>
      </c>
      <c r="G7" s="87" cm="1">
        <f t="array" ref="G7">(F7)*'Info - danh-muc-2026-03-17 5-1'!$F$34</f>
        <v>334998307.74134</v>
      </c>
      <c r="H7" s="195" cm="1">
        <f t="array" ref="H7">F7+G7</f>
        <v>4522477154.50809</v>
      </c>
      <c r="I7" s="195" cm="1">
        <f t="array" ref="I7">K6+'Cash flow - CASH FLOW'!N7</f>
        <v>11772699588.2234</v>
      </c>
      <c r="J7" s="87" cm="1">
        <f t="array" ref="J7">I7*'Info - danh-muc-2026-03-17 5-1'!$F$44</f>
        <v>1765904938.23351</v>
      </c>
      <c r="K7" s="195" cm="1">
        <f t="array" ref="K7">I7+J7</f>
        <v>13538604526.4569</v>
      </c>
      <c r="L7" s="195" cm="1">
        <f t="array" ref="L7">N6+'Cash flow - CASH FLOW'!M7</f>
        <v>1710366635.9502</v>
      </c>
      <c r="M7" s="87" cm="1">
        <f t="array" ref="M7">L7*'Info - danh-muc-2026-03-17 5-1'!$F$41</f>
        <v>153932997.235518</v>
      </c>
      <c r="N7" s="195" cm="1">
        <f t="array" ref="N7">M7+L7</f>
        <v>1864299633.18572</v>
      </c>
      <c r="O7" s="202" cm="1">
        <f t="array" ref="O7">Q6+'Cash flow - CASH FLOW'!L7</f>
        <v>1832231895.89973</v>
      </c>
      <c r="P7" s="49" cm="1">
        <f t="array" ref="P7">(O7)*'Info - danh-muc-2026-03-17 5-1'!$F$40</f>
        <v>274834784.38496</v>
      </c>
      <c r="Q7" s="203" cm="1">
        <f t="array" ref="Q7">O7+P7</f>
        <v>2107066680.28469</v>
      </c>
    </row>
    <row r="8" ht="22.5" customHeight="1">
      <c r="B8" s="193">
        <v>2031</v>
      </c>
      <c r="C8" s="198" cm="1">
        <f t="array" ref="C8">E7+'Cash flow - CASH FLOW'!D8</f>
        <v>1370086663.41563</v>
      </c>
      <c r="D8" s="93" cm="1">
        <f t="array" ref="D8">C8*'Info - danh-muc-2026-03-17 5-1'!$F$32</f>
        <v>89055633.122016</v>
      </c>
      <c r="E8" s="199" cm="1">
        <f t="array" ref="E8">C8+D8</f>
        <v>1459142296.53765</v>
      </c>
      <c r="F8" s="199" cm="1">
        <f t="array" ref="F8">H7+'Cash flow - CASH FLOW'!K8</f>
        <v>4632719197.54263</v>
      </c>
      <c r="G8" s="93" cm="1">
        <f t="array" ref="G8">(F8)*'Info - danh-muc-2026-03-17 5-1'!$F$34</f>
        <v>370617535.80341</v>
      </c>
      <c r="H8" s="199" cm="1">
        <f t="array" ref="H8">F8+G8</f>
        <v>5003336733.34604</v>
      </c>
      <c r="I8" s="199" cm="1">
        <f t="array" ref="I8">K7+'Cash flow - CASH FLOW'!N8</f>
        <v>13869330655.5605</v>
      </c>
      <c r="J8" s="93" cm="1">
        <f t="array" ref="J8">I8*'Info - danh-muc-2026-03-17 5-1'!$F$44</f>
        <v>2080399598.33408</v>
      </c>
      <c r="K8" s="199" cm="1">
        <f t="array" ref="K8">I8+J8</f>
        <v>15949730253.8946</v>
      </c>
      <c r="L8" s="199" cm="1">
        <f t="array" ref="L8">N7+'Cash flow - CASH FLOW'!M8</f>
        <v>1919420654.70299</v>
      </c>
      <c r="M8" s="93" cm="1">
        <f t="array" ref="M8">L8*'Info - danh-muc-2026-03-17 5-1'!$F$41</f>
        <v>172747858.923269</v>
      </c>
      <c r="N8" s="199" cm="1">
        <f t="array" ref="N8">M8+L8</f>
        <v>2092168513.62626</v>
      </c>
      <c r="O8" s="200" cm="1">
        <f t="array" ref="O8">Q7+'Cash flow - CASH FLOW'!L8</f>
        <v>2162187701.80196</v>
      </c>
      <c r="P8" s="43" cm="1">
        <f t="array" ref="P8">(O8)*'Info - danh-muc-2026-03-17 5-1'!$F$40</f>
        <v>324328155.270294</v>
      </c>
      <c r="Q8" s="201" cm="1">
        <f t="array" ref="Q8">O8+P8</f>
        <v>2486515857.07225</v>
      </c>
    </row>
    <row r="9" ht="22.5" customHeight="1">
      <c r="B9" s="193">
        <v>2032</v>
      </c>
      <c r="C9" s="194" cm="1">
        <f t="array" ref="C9">E8+'Cash flow - CASH FLOW'!D9</f>
        <v>1459142296.53765</v>
      </c>
      <c r="D9" s="87" cm="1">
        <f t="array" ref="D9">C9*'Info - danh-muc-2026-03-17 5-1'!$F$32</f>
        <v>94844249.2749473</v>
      </c>
      <c r="E9" s="195" cm="1">
        <f t="array" ref="E9">C9+D9</f>
        <v>1553986545.8126</v>
      </c>
      <c r="F9" s="195" cm="1">
        <f t="array" ref="F9">H8+'Cash flow - CASH FLOW'!K9</f>
        <v>5115953873.91672</v>
      </c>
      <c r="G9" s="87" cm="1">
        <f t="array" ref="G9">(F9)*'Info - danh-muc-2026-03-17 5-1'!$F$34</f>
        <v>409276309.913338</v>
      </c>
      <c r="H9" s="195" cm="1">
        <f t="array" ref="H9">F9+G9</f>
        <v>5525230183.83006</v>
      </c>
      <c r="I9" s="195" cm="1">
        <f t="array" ref="I9">K8+'Cash flow - CASH FLOW'!N9</f>
        <v>16287581675.6067</v>
      </c>
      <c r="J9" s="87" cm="1">
        <f t="array" ref="J9">I9*'Info - danh-muc-2026-03-17 5-1'!$F$44</f>
        <v>2443137251.34101</v>
      </c>
      <c r="K9" s="195" cm="1">
        <f t="array" ref="K9">I9+J9</f>
        <v>18730718926.9477</v>
      </c>
      <c r="L9" s="195" cm="1">
        <f t="array" ref="L9">N8+'Cash flow - CASH FLOW'!M9</f>
        <v>2148477083.9116</v>
      </c>
      <c r="M9" s="87" cm="1">
        <f t="array" ref="M9">L9*'Info - danh-muc-2026-03-17 5-1'!$F$41</f>
        <v>193362937.552044</v>
      </c>
      <c r="N9" s="195" cm="1">
        <f t="array" ref="N9">M9+L9</f>
        <v>2341840021.46364</v>
      </c>
      <c r="O9" s="202" cm="1">
        <f t="array" ref="O9">Q8+'Cash flow - CASH FLOW'!L9</f>
        <v>2542824427.35759</v>
      </c>
      <c r="P9" s="49" cm="1">
        <f t="array" ref="P9">(O9)*'Info - danh-muc-2026-03-17 5-1'!$F$40</f>
        <v>381423664.103639</v>
      </c>
      <c r="Q9" s="203" cm="1">
        <f t="array" ref="Q9">O9+P9</f>
        <v>2924248091.46123</v>
      </c>
    </row>
    <row r="10" ht="22.5" customHeight="1">
      <c r="B10" s="193">
        <v>2033</v>
      </c>
      <c r="C10" s="198" cm="1">
        <f t="array" ref="C10">E9+'Cash flow - CASH FLOW'!D10</f>
        <v>1553986545.8126</v>
      </c>
      <c r="D10" s="93" cm="1">
        <f t="array" ref="D10">C10*'Info - danh-muc-2026-03-17 5-1'!$F$32</f>
        <v>101009125.477819</v>
      </c>
      <c r="E10" s="199" cm="1">
        <f t="array" ref="E10">C10+D10</f>
        <v>1654995671.29042</v>
      </c>
      <c r="F10" s="199" cm="1">
        <f t="array" ref="F10">H9+'Cash flow - CASH FLOW'!K10</f>
        <v>5640317425.83833</v>
      </c>
      <c r="G10" s="93" cm="1">
        <f t="array" ref="G10">(F10)*'Info - danh-muc-2026-03-17 5-1'!$F$34</f>
        <v>451225394.067066</v>
      </c>
      <c r="H10" s="199" cm="1">
        <f t="array" ref="H10">F10+G10</f>
        <v>6091542819.9054</v>
      </c>
      <c r="I10" s="199" cm="1">
        <f t="array" ref="I10">K9+'Cash flow - CASH FLOW'!N10</f>
        <v>19075980652.9725</v>
      </c>
      <c r="J10" s="93" cm="1">
        <f t="array" ref="J10">I10*'Info - danh-muc-2026-03-17 5-1'!$F$44</f>
        <v>2861397097.94588</v>
      </c>
      <c r="K10" s="199" cm="1">
        <f t="array" ref="K10">I10+J10</f>
        <v>21937377750.9184</v>
      </c>
      <c r="L10" s="199" cm="1">
        <f t="array" ref="L10">N9+'Cash flow - CASH FLOW'!M10</f>
        <v>2399383642.46778</v>
      </c>
      <c r="M10" s="93" cm="1">
        <f t="array" ref="M10">L10*'Info - danh-muc-2026-03-17 5-1'!$F$41</f>
        <v>215944527.8221</v>
      </c>
      <c r="N10" s="199" cm="1">
        <f t="array" ref="N10">M10+L10</f>
        <v>2615328170.28988</v>
      </c>
      <c r="O10" s="200" cm="1">
        <f t="array" ref="O10">Q9+'Cash flow - CASH FLOW'!L10</f>
        <v>2981791712.46537</v>
      </c>
      <c r="P10" s="43" cm="1">
        <f t="array" ref="P10">(O10)*'Info - danh-muc-2026-03-17 5-1'!$F$40</f>
        <v>447268756.869806</v>
      </c>
      <c r="Q10" s="201" cm="1">
        <f t="array" ref="Q10">O10+P10</f>
        <v>3429060469.33518</v>
      </c>
    </row>
    <row r="11" ht="22.5" customHeight="1">
      <c r="B11" s="193">
        <v>2034</v>
      </c>
      <c r="C11" s="194" cm="1">
        <f t="array" ref="C11">E10+'Cash flow - CASH FLOW'!D11</f>
        <v>1654995671.29042</v>
      </c>
      <c r="D11" s="87" cm="1">
        <f t="array" ref="D11">C11*'Info - danh-muc-2026-03-17 5-1'!$F$32</f>
        <v>107574718.633877</v>
      </c>
      <c r="E11" s="195" cm="1">
        <f t="array" ref="E11">C11+D11</f>
        <v>1762570389.9243</v>
      </c>
      <c r="F11" s="195" cm="1">
        <f t="array" ref="F11">H10+'Cash flow - CASH FLOW'!K11</f>
        <v>6209198967.40877</v>
      </c>
      <c r="G11" s="87" cm="1">
        <f t="array" ref="G11">(F11)*'Info - danh-muc-2026-03-17 5-1'!$F$34</f>
        <v>496735917.392702</v>
      </c>
      <c r="H11" s="195" cm="1">
        <f t="array" ref="H11">F11+G11</f>
        <v>6705934884.80147</v>
      </c>
      <c r="I11" s="195" cm="1">
        <f t="array" ref="I11">K10+'Cash flow - CASH FLOW'!N11</f>
        <v>22290346193.4285</v>
      </c>
      <c r="J11" s="87" cm="1">
        <f t="array" ref="J11">I11*'Info - danh-muc-2026-03-17 5-1'!$F$44</f>
        <v>3343551929.01428</v>
      </c>
      <c r="K11" s="195" cm="1">
        <f t="array" ref="K11">I11+J11</f>
        <v>25633898122.4428</v>
      </c>
      <c r="L11" s="195" cm="1">
        <f t="array" ref="L11">N10+'Cash flow - CASH FLOW'!M11</f>
        <v>2674156244.04156</v>
      </c>
      <c r="M11" s="87" cm="1">
        <f t="array" ref="M11">L11*'Info - danh-muc-2026-03-17 5-1'!$F$41</f>
        <v>240674061.96374</v>
      </c>
      <c r="N11" s="195" cm="1">
        <f t="array" ref="N11">M11+L11</f>
        <v>2914830306.0053</v>
      </c>
      <c r="O11" s="202" cm="1">
        <f t="array" ref="O11">Q10+'Cash flow - CASH FLOW'!L11</f>
        <v>3487888543.08686</v>
      </c>
      <c r="P11" s="49" cm="1">
        <f t="array" ref="P11">(O11)*'Info - danh-muc-2026-03-17 5-1'!$F$40</f>
        <v>523183281.463029</v>
      </c>
      <c r="Q11" s="203" cm="1">
        <f t="array" ref="Q11">O11+P11</f>
        <v>4011071824.54989</v>
      </c>
    </row>
    <row r="12" ht="22.5" customHeight="1">
      <c r="B12" s="193">
        <v>2035</v>
      </c>
      <c r="C12" s="198" cm="1">
        <f t="array" ref="C12">E11+'Cash flow - CASH FLOW'!D12</f>
        <v>1762570389.9243</v>
      </c>
      <c r="D12" s="93" cm="1">
        <f t="array" ref="D12">C12*'Info - danh-muc-2026-03-17 5-1'!$F$32</f>
        <v>114567075.34508</v>
      </c>
      <c r="E12" s="199" cm="1">
        <f t="array" ref="E12">C12+D12</f>
        <v>1877137465.26938</v>
      </c>
      <c r="F12" s="199" cm="1">
        <f t="array" ref="F12">H11+'Cash flow - CASH FLOW'!K12</f>
        <v>6826262694.01973</v>
      </c>
      <c r="G12" s="93" cm="1">
        <f t="array" ref="G12">(F12)*'Info - danh-muc-2026-03-17 5-1'!$F$34</f>
        <v>546101015.521578</v>
      </c>
      <c r="H12" s="199" cm="1">
        <f t="array" ref="H12">F12+G12</f>
        <v>7372363709.54131</v>
      </c>
      <c r="I12" s="199" cm="1">
        <f t="array" ref="I12">K11+'Cash flow - CASH FLOW'!N12</f>
        <v>25994881550.0976</v>
      </c>
      <c r="J12" s="93" cm="1">
        <f t="array" ref="J12">I12*'Info - danh-muc-2026-03-17 5-1'!$F$44</f>
        <v>3899232232.51464</v>
      </c>
      <c r="K12" s="199" cm="1">
        <f t="array" ref="K12">I12+J12</f>
        <v>29894113782.6122</v>
      </c>
      <c r="L12" s="199" cm="1">
        <f t="array" ref="L12">N11+'Cash flow - CASH FLOW'!M12</f>
        <v>2974994210.61443</v>
      </c>
      <c r="M12" s="93" cm="1">
        <f t="array" ref="M12">L12*'Info - danh-muc-2026-03-17 5-1'!$F$41</f>
        <v>267749478.955299</v>
      </c>
      <c r="N12" s="199" cm="1">
        <f t="array" ref="N12">M12+L12</f>
        <v>3242743689.56973</v>
      </c>
      <c r="O12" s="200" cm="1">
        <f t="array" ref="O12">Q11+'Cash flow - CASH FLOW'!L12</f>
        <v>4071235729.15902</v>
      </c>
      <c r="P12" s="43" cm="1">
        <f t="array" ref="P12">(O12)*'Info - danh-muc-2026-03-17 5-1'!$F$40</f>
        <v>610685359.373853</v>
      </c>
      <c r="Q12" s="201" cm="1">
        <f t="array" ref="Q12">O12+P12</f>
        <v>4681921088.53287</v>
      </c>
    </row>
    <row r="13" ht="22.5" customHeight="1">
      <c r="B13" s="193">
        <v>2036</v>
      </c>
      <c r="C13" s="194" cm="1">
        <f t="array" ref="C13">E12+'Cash flow - CASH FLOW'!D13</f>
        <v>1877137465.26938</v>
      </c>
      <c r="D13" s="87" cm="1">
        <f t="array" ref="D13">C13*'Info - danh-muc-2026-03-17 5-1'!$F$32</f>
        <v>122013935.24251</v>
      </c>
      <c r="E13" s="195" cm="1">
        <f t="array" ref="E13">C13+D13</f>
        <v>1999151400.51189</v>
      </c>
      <c r="F13" s="195" cm="1">
        <f t="array" ref="F13">H12+'Cash flow - CASH FLOW'!K13</f>
        <v>7495470046.94307</v>
      </c>
      <c r="G13" s="87" cm="1">
        <f t="array" ref="G13">(F13)*'Info - danh-muc-2026-03-17 5-1'!$F$34</f>
        <v>599637603.755446</v>
      </c>
      <c r="H13" s="195" cm="1">
        <f t="array" ref="H13">F13+G13</f>
        <v>8095107650.69852</v>
      </c>
      <c r="I13" s="195" cm="1">
        <f t="array" ref="I13">K12+'Cash flow - CASH FLOW'!N13</f>
        <v>30263432794.8175</v>
      </c>
      <c r="J13" s="87" cm="1">
        <f t="array" ref="J13">I13*'Info - danh-muc-2026-03-17 5-1'!$F$44</f>
        <v>4539514919.22263</v>
      </c>
      <c r="K13" s="195" cm="1">
        <f t="array" ref="K13">I13+J13</f>
        <v>34802947714.0401</v>
      </c>
      <c r="L13" s="195" cm="1">
        <f t="array" ref="L13">N12+'Cash flow - CASH FLOW'!M13</f>
        <v>3304296858.27061</v>
      </c>
      <c r="M13" s="87" cm="1">
        <f t="array" ref="M13">L13*'Info - danh-muc-2026-03-17 5-1'!$F$41</f>
        <v>297386717.244355</v>
      </c>
      <c r="N13" s="195" cm="1">
        <f t="array" ref="N13">M13+L13</f>
        <v>3601683575.51497</v>
      </c>
      <c r="O13" s="202" cm="1">
        <f t="array" ref="O13">Q12+'Cash flow - CASH FLOW'!L13</f>
        <v>4743474257.23375</v>
      </c>
      <c r="P13" s="49" cm="1">
        <f t="array" ref="P13">(O13)*'Info - danh-muc-2026-03-17 5-1'!$F$40</f>
        <v>711521138.585063</v>
      </c>
      <c r="Q13" s="203" cm="1">
        <f t="array" ref="Q13">O13+P13</f>
        <v>5454995395.81881</v>
      </c>
    </row>
    <row r="14" ht="22.5" customHeight="1">
      <c r="B14" s="193">
        <v>2037</v>
      </c>
      <c r="C14" s="198" cm="1">
        <f t="array" ref="C14">E13+'Cash flow - CASH FLOW'!D14</f>
        <v>1999151400.51189</v>
      </c>
      <c r="D14" s="93" cm="1">
        <f t="array" ref="D14">C14*'Info - danh-muc-2026-03-17 5-1'!$F$32</f>
        <v>129944841.033273</v>
      </c>
      <c r="E14" s="199" cm="1">
        <f t="array" ref="E14">C14+D14</f>
        <v>2129096241.54516</v>
      </c>
      <c r="F14" s="199" cm="1">
        <f t="array" ref="F14">H13+'Cash flow - CASH FLOW'!K14</f>
        <v>8221103657.41111</v>
      </c>
      <c r="G14" s="93" cm="1">
        <f t="array" ref="G14">(F14)*'Info - danh-muc-2026-03-17 5-1'!$F$34</f>
        <v>657688292.592889</v>
      </c>
      <c r="H14" s="199" cm="1">
        <f t="array" ref="H14">F14+G14</f>
        <v>8878791950.004</v>
      </c>
      <c r="I14" s="199" cm="1">
        <f t="array" ref="I14">K13+'Cash flow - CASH FLOW'!N14</f>
        <v>35180935734.1779</v>
      </c>
      <c r="J14" s="93" cm="1">
        <f t="array" ref="J14">I14*'Info - danh-muc-2026-03-17 5-1'!$F$44</f>
        <v>5277140360.12669</v>
      </c>
      <c r="K14" s="199" cm="1">
        <f t="array" ref="K14">I14+J14</f>
        <v>40458076094.3046</v>
      </c>
      <c r="L14" s="199" cm="1">
        <f t="array" ref="L14">N13+'Cash flow - CASH FLOW'!M14</f>
        <v>3664681578.87126</v>
      </c>
      <c r="M14" s="93" cm="1">
        <f t="array" ref="M14">L14*'Info - danh-muc-2026-03-17 5-1'!$F$41</f>
        <v>329821342.098413</v>
      </c>
      <c r="N14" s="199" cm="1">
        <f t="array" ref="N14">M14+L14</f>
        <v>3994502920.96967</v>
      </c>
      <c r="O14" s="200" cm="1">
        <f t="array" ref="O14">Q13+'Cash flow - CASH FLOW'!L14</f>
        <v>5517993399.1751</v>
      </c>
      <c r="P14" s="43" cm="1">
        <f t="array" ref="P14">(O14)*'Info - danh-muc-2026-03-17 5-1'!$F$40</f>
        <v>827699009.876265</v>
      </c>
      <c r="Q14" s="201" cm="1">
        <f t="array" ref="Q14">O14+P14</f>
        <v>6345692409.05137</v>
      </c>
    </row>
    <row r="15" ht="22.5" customHeight="1">
      <c r="B15" s="193">
        <v>2038</v>
      </c>
      <c r="C15" s="194" cm="1">
        <f t="array" ref="C15">E14+'Cash flow - CASH FLOW'!D15</f>
        <v>2129096241.54516</v>
      </c>
      <c r="D15" s="87" cm="1">
        <f t="array" ref="D15">C15*'Info - danh-muc-2026-03-17 5-1'!$F$32</f>
        <v>138391255.700435</v>
      </c>
      <c r="E15" s="195" cm="1">
        <f t="array" ref="E15">C15+D15</f>
        <v>2267487497.2456</v>
      </c>
      <c r="F15" s="195" cm="1">
        <f t="array" ref="F15">H14+'Cash flow - CASH FLOW'!K15</f>
        <v>9007793212.79985</v>
      </c>
      <c r="G15" s="87" cm="1">
        <f t="array" ref="G15">(F15)*'Info - danh-muc-2026-03-17 5-1'!$F$34</f>
        <v>720623457.023988</v>
      </c>
      <c r="H15" s="195" cm="1">
        <f t="array" ref="H15">F15+G15</f>
        <v>9728416669.823839</v>
      </c>
      <c r="I15" s="195" cm="1">
        <f t="array" ref="I15">K14+'Cash flow - CASH FLOW'!N15</f>
        <v>40845079882.6922</v>
      </c>
      <c r="J15" s="87" cm="1">
        <f t="array" ref="J15">I15*'Info - danh-muc-2026-03-17 5-1'!$F$44</f>
        <v>6126761982.40383</v>
      </c>
      <c r="K15" s="195" cm="1">
        <f t="array" ref="K15">I15+J15</f>
        <v>46971841865.096</v>
      </c>
      <c r="L15" s="195" cm="1">
        <f t="array" ref="L15">N14+'Cash flow - CASH FLOW'!M15</f>
        <v>4059003552.3676</v>
      </c>
      <c r="M15" s="87" cm="1">
        <f t="array" ref="M15">L15*'Info - danh-muc-2026-03-17 5-1'!$F$41</f>
        <v>365310319.713084</v>
      </c>
      <c r="N15" s="195" cm="1">
        <f t="array" ref="N15">M15+L15</f>
        <v>4424313872.08068</v>
      </c>
      <c r="O15" s="202" cm="1">
        <f t="array" ref="O15">Q14+'Cash flow - CASH FLOW'!L15</f>
        <v>6410193040.4493</v>
      </c>
      <c r="P15" s="49" cm="1">
        <f t="array" ref="P15">(O15)*'Info - danh-muc-2026-03-17 5-1'!$F$40</f>
        <v>961528956.067395</v>
      </c>
      <c r="Q15" s="203" cm="1">
        <f t="array" ref="Q15">O15+P15</f>
        <v>7371721996.5167</v>
      </c>
    </row>
    <row r="16" ht="22.5" customHeight="1">
      <c r="B16" s="193">
        <v>2039</v>
      </c>
      <c r="C16" s="198" cm="1">
        <f t="array" ref="C16">E15+'Cash flow - CASH FLOW'!D16</f>
        <v>2267487497.2456</v>
      </c>
      <c r="D16" s="93" cm="1">
        <f t="array" ref="D16">C16*'Info - danh-muc-2026-03-17 5-1'!$F$32</f>
        <v>147386687.320964</v>
      </c>
      <c r="E16" s="199" cm="1">
        <f t="array" ref="E16">C16+D16</f>
        <v>2414874184.56656</v>
      </c>
      <c r="F16" s="199" cm="1">
        <f t="array" ref="F16">H15+'Cash flow - CASH FLOW'!K16</f>
        <v>9853438368.534269</v>
      </c>
      <c r="G16" s="93" cm="1">
        <f t="array" ref="G16">(F16)*'Info - danh-muc-2026-03-17 5-1'!$F$34</f>
        <v>788275069.482742</v>
      </c>
      <c r="H16" s="199" cm="1">
        <f t="array" ref="H16">F16+G16</f>
        <v>10641713438.017</v>
      </c>
      <c r="I16" s="199" cm="1">
        <f t="array" ref="I16">K15+'Cash flow - CASH FLOW'!N16</f>
        <v>47346906961.2273</v>
      </c>
      <c r="J16" s="93" cm="1">
        <f t="array" ref="J16">I16*'Info - danh-muc-2026-03-17 5-1'!$F$44</f>
        <v>7102036044.1841</v>
      </c>
      <c r="K16" s="199" cm="1">
        <f t="array" ref="K16">I16+J16</f>
        <v>54448943005.4114</v>
      </c>
      <c r="L16" s="199" cm="1">
        <f t="array" ref="L16">N15+'Cash flow - CASH FLOW'!M16</f>
        <v>4486824721.43589</v>
      </c>
      <c r="M16" s="93" cm="1">
        <f t="array" ref="M16">L16*'Info - danh-muc-2026-03-17 5-1'!$F$41</f>
        <v>403814224.92923</v>
      </c>
      <c r="N16" s="199" cm="1">
        <f t="array" ref="N16">M16+L16</f>
        <v>4890638946.36512</v>
      </c>
      <c r="O16" s="200" cm="1">
        <f t="array" ref="O16">Q15+'Cash flow - CASH FLOW'!L16</f>
        <v>7434232845.87191</v>
      </c>
      <c r="P16" s="43" cm="1">
        <f t="array" ref="P16">(O16)*'Info - danh-muc-2026-03-17 5-1'!$F$40</f>
        <v>1115134926.88079</v>
      </c>
      <c r="Q16" s="201" cm="1">
        <f t="array" ref="Q16">O16+P16</f>
        <v>8549367772.7527</v>
      </c>
    </row>
    <row r="17" ht="22.5" customHeight="1">
      <c r="B17" s="193">
        <v>2040</v>
      </c>
      <c r="C17" s="194" cm="1">
        <f t="array" ref="C17">E16+'Cash flow - CASH FLOW'!D17</f>
        <v>2414874184.56656</v>
      </c>
      <c r="D17" s="87" cm="1">
        <f t="array" ref="D17">C17*'Info - danh-muc-2026-03-17 5-1'!$F$32</f>
        <v>156966821.996826</v>
      </c>
      <c r="E17" s="195" cm="1">
        <f t="array" ref="E17">C17+D17</f>
        <v>2571841006.56339</v>
      </c>
      <c r="F17" s="195" cm="1">
        <f t="array" ref="F17">H16+'Cash flow - CASH FLOW'!K17</f>
        <v>10769985621.7071</v>
      </c>
      <c r="G17" s="87" cm="1">
        <f t="array" ref="G17">(F17)*'Info - danh-muc-2026-03-17 5-1'!$F$34</f>
        <v>861598849.736568</v>
      </c>
      <c r="H17" s="195" cm="1">
        <f t="array" ref="H17">F17+G17</f>
        <v>11631584471.4437</v>
      </c>
      <c r="I17" s="195" cm="1">
        <f t="array" ref="I17">K16+'Cash flow - CASH FLOW'!N17</f>
        <v>54833759556.4817</v>
      </c>
      <c r="J17" s="87" cm="1">
        <f t="array" ref="J17">I17*'Info - danh-muc-2026-03-17 5-1'!$F$44</f>
        <v>8225063933.47226</v>
      </c>
      <c r="K17" s="195" cm="1">
        <f t="array" ref="K17">I17+J17</f>
        <v>63058823489.954</v>
      </c>
      <c r="L17" s="195" cm="1">
        <f t="array" ref="L17">N16+'Cash flow - CASH FLOW'!M17</f>
        <v>4954775038.21016</v>
      </c>
      <c r="M17" s="87" cm="1">
        <f t="array" ref="M17">L17*'Info - danh-muc-2026-03-17 5-1'!$F$41</f>
        <v>445929753.438914</v>
      </c>
      <c r="N17" s="195" cm="1">
        <f t="array" ref="N17">M17+L17</f>
        <v>5400704791.64907</v>
      </c>
      <c r="O17" s="202" cm="1">
        <f t="array" ref="O17">Q16+'Cash flow - CASH FLOW'!L17</f>
        <v>8613503864.59774</v>
      </c>
      <c r="P17" s="49" cm="1">
        <f t="array" ref="P17">(O17)*'Info - danh-muc-2026-03-17 5-1'!$F$40</f>
        <v>1292025579.68966</v>
      </c>
      <c r="Q17" s="203" cm="1">
        <f t="array" ref="Q17">O17+P17</f>
        <v>9905529444.287399</v>
      </c>
    </row>
    <row r="18" ht="22.5" customHeight="1">
      <c r="B18" s="193">
        <v>2041</v>
      </c>
      <c r="C18" s="198" cm="1">
        <f t="array" ref="C18">E17+'Cash flow - CASH FLOW'!D18</f>
        <v>2571841006.56339</v>
      </c>
      <c r="D18" s="93" cm="1">
        <f t="array" ref="D18">C18*'Info - danh-muc-2026-03-17 5-1'!$F$32</f>
        <v>167169665.42662</v>
      </c>
      <c r="E18" s="199" cm="1">
        <f t="array" ref="E18">C18+D18</f>
        <v>2739010671.99001</v>
      </c>
      <c r="F18" s="199" cm="1">
        <f t="array" ref="F18">H17+'Cash flow - CASH FLOW'!K18</f>
        <v>11763237159.5126</v>
      </c>
      <c r="G18" s="93" cm="1">
        <f t="array" ref="G18">(F18)*'Info - danh-muc-2026-03-17 5-1'!$F$34</f>
        <v>941058972.761008</v>
      </c>
      <c r="H18" s="199" cm="1">
        <f t="array" ref="H18">F18+G18</f>
        <v>12704296132.2736</v>
      </c>
      <c r="I18" s="199" cm="1">
        <f t="array" ref="I18">K17+'Cash flow - CASH FLOW'!N18</f>
        <v>63453781554.1608</v>
      </c>
      <c r="J18" s="93" cm="1">
        <f t="array" ref="J18">I18*'Info - danh-muc-2026-03-17 5-1'!$F$44</f>
        <v>9518067233.124121</v>
      </c>
      <c r="K18" s="199" cm="1">
        <f t="array" ref="K18">I18+J18</f>
        <v>72971848787.2849</v>
      </c>
      <c r="L18" s="199" cm="1">
        <f t="array" ref="L18">N17+'Cash flow - CASH FLOW'!M18</f>
        <v>5466531135.68354</v>
      </c>
      <c r="M18" s="93" cm="1">
        <f t="array" ref="M18">L18*'Info - danh-muc-2026-03-17 5-1'!$F$41</f>
        <v>491987802.211519</v>
      </c>
      <c r="N18" s="199" cm="1">
        <f t="array" ref="N18">M18+L18</f>
        <v>5958518937.89506</v>
      </c>
      <c r="O18" s="200" cm="1">
        <f t="array" ref="O18">Q17+'Cash flow - CASH FLOW'!L18</f>
        <v>9971355788.321871</v>
      </c>
      <c r="P18" s="43" cm="1">
        <f t="array" ref="P18">(O18)*'Info - danh-muc-2026-03-17 5-1'!$F$40</f>
        <v>1495703368.24828</v>
      </c>
      <c r="Q18" s="201" cm="1">
        <f t="array" ref="Q18">O18+P18</f>
        <v>11467059156.5702</v>
      </c>
    </row>
    <row r="19" ht="22.5" customHeight="1">
      <c r="B19" s="193">
        <v>2042</v>
      </c>
      <c r="C19" s="194" cm="1">
        <f t="array" ref="C19">E18+'Cash flow - CASH FLOW'!D19</f>
        <v>2739010671.99001</v>
      </c>
      <c r="D19" s="87" cm="1">
        <f t="array" ref="D19">C19*'Info - danh-muc-2026-03-17 5-1'!$F$32</f>
        <v>178035693.679351</v>
      </c>
      <c r="E19" s="195" cm="1">
        <f t="array" ref="E19">C19+D19</f>
        <v>2917046365.66936</v>
      </c>
      <c r="F19" s="195" cm="1">
        <f t="array" ref="F19">H18+'Cash flow - CASH FLOW'!K19</f>
        <v>12839464544.8965</v>
      </c>
      <c r="G19" s="87" cm="1">
        <f t="array" ref="G19">(F19)*'Info - danh-muc-2026-03-17 5-1'!$F$34</f>
        <v>1027157163.59172</v>
      </c>
      <c r="H19" s="195" cm="1">
        <f t="array" ref="H19">F19+G19</f>
        <v>13866621708.4882</v>
      </c>
      <c r="I19" s="195" cm="1">
        <f t="array" ref="I19">K18+'Cash flow - CASH FLOW'!N19</f>
        <v>73377354025.1537</v>
      </c>
      <c r="J19" s="87" cm="1">
        <f t="array" ref="J19">I19*'Info - danh-muc-2026-03-17 5-1'!$F$44</f>
        <v>11006603103.7731</v>
      </c>
      <c r="K19" s="195" cm="1">
        <f t="array" ref="K19">I19+J19</f>
        <v>84383957128.9268</v>
      </c>
      <c r="L19" s="195" cm="1">
        <f t="array" ref="L19">N18+'Cash flow - CASH FLOW'!M19</f>
        <v>6026103144.20653</v>
      </c>
      <c r="M19" s="87" cm="1">
        <f t="array" ref="M19">L19*'Info - danh-muc-2026-03-17 5-1'!$F$41</f>
        <v>542349282.978588</v>
      </c>
      <c r="N19" s="195" cm="1">
        <f t="array" ref="N19">M19+L19</f>
        <v>6568452427.18512</v>
      </c>
      <c r="O19" s="202" cm="1">
        <f t="array" ref="O19">Q18+'Cash flow - CASH FLOW'!L19</f>
        <v>11534643362.8817</v>
      </c>
      <c r="P19" s="49" cm="1">
        <f t="array" ref="P19">(O19)*'Info - danh-muc-2026-03-17 5-1'!$F$40</f>
        <v>1730196504.43226</v>
      </c>
      <c r="Q19" s="203" cm="1">
        <f t="array" ref="Q19">O19+P19</f>
        <v>13264839867.314</v>
      </c>
    </row>
    <row r="20" ht="22.5" customHeight="1">
      <c r="B20" s="193">
        <v>2043</v>
      </c>
      <c r="C20" s="198" cm="1">
        <f t="array" ref="C20">E19+'Cash flow - CASH FLOW'!D20</f>
        <v>2917046365.66936</v>
      </c>
      <c r="D20" s="93" cm="1">
        <f t="array" ref="D20">C20*'Info - danh-muc-2026-03-17 5-1'!$F$32</f>
        <v>189608013.768508</v>
      </c>
      <c r="E20" s="199" cm="1">
        <f t="array" ref="E20">C20+D20</f>
        <v>3106654379.43787</v>
      </c>
      <c r="F20" s="199" cm="1">
        <f t="array" ref="F20">H19+'Cash flow - CASH FLOW'!K20</f>
        <v>14005446474.6473</v>
      </c>
      <c r="G20" s="93" cm="1">
        <f t="array" ref="G20">(F20)*'Info - danh-muc-2026-03-17 5-1'!$F$34</f>
        <v>1120435717.97178</v>
      </c>
      <c r="H20" s="199" cm="1">
        <f t="array" ref="H20">F20+G20</f>
        <v>15125882192.6191</v>
      </c>
      <c r="I20" s="199" cm="1">
        <f t="array" ref="I20">K19+'Cash flow - CASH FLOW'!N20</f>
        <v>84800431427.4041</v>
      </c>
      <c r="J20" s="93" cm="1">
        <f t="array" ref="J20">I20*'Info - danh-muc-2026-03-17 5-1'!$F$44</f>
        <v>12720064714.1106</v>
      </c>
      <c r="K20" s="199" cm="1">
        <f t="array" ref="K20">I20+J20</f>
        <v>97520496141.51469</v>
      </c>
      <c r="L20" s="199" cm="1">
        <f t="array" ref="L20">N19+'Cash flow - CASH FLOW'!M20</f>
        <v>6637864810.26467</v>
      </c>
      <c r="M20" s="93" cm="1">
        <f t="array" ref="M20">L20*'Info - danh-muc-2026-03-17 5-1'!$F$41</f>
        <v>597407832.92382</v>
      </c>
      <c r="N20" s="199" cm="1">
        <f t="array" ref="N20">M20+L20</f>
        <v>7235272643.18849</v>
      </c>
      <c r="O20" s="200" cm="1">
        <f t="array" ref="O20">Q19+'Cash flow - CASH FLOW'!L20</f>
        <v>13334252250.3935</v>
      </c>
      <c r="P20" s="43" cm="1">
        <f t="array" ref="P20">(O20)*'Info - danh-muc-2026-03-17 5-1'!$F$40</f>
        <v>2000137837.55903</v>
      </c>
      <c r="Q20" s="201" cm="1">
        <f t="array" ref="Q20">O20+P20</f>
        <v>15334390087.9525</v>
      </c>
    </row>
    <row r="21" ht="22.25" customHeight="1">
      <c r="B21" s="193">
        <v>2044</v>
      </c>
      <c r="C21" s="194" cm="1">
        <f t="array" ref="C21">E20+'Cash flow - CASH FLOW'!D21</f>
        <v>3106654379.43787</v>
      </c>
      <c r="D21" s="87" cm="1">
        <f t="array" ref="D21">C21*'Info - danh-muc-2026-03-17 5-1'!$F$32</f>
        <v>201932534.663462</v>
      </c>
      <c r="E21" s="195" cm="1">
        <f t="array" ref="E21">C21+D21</f>
        <v>3308586914.10133</v>
      </c>
      <c r="F21" s="195" cm="1">
        <f t="array" ref="F21">H20+'Cash flow - CASH FLOW'!K21</f>
        <v>15268509566.4558</v>
      </c>
      <c r="G21" s="87" cm="1">
        <f t="array" ref="G21">(F21)*'Info - danh-muc-2026-03-17 5-1'!$F$34</f>
        <v>1221480765.31646</v>
      </c>
      <c r="H21" s="195" cm="1">
        <f t="array" ref="H21">F21+G21</f>
        <v>16489990331.7723</v>
      </c>
      <c r="I21" s="195" cm="1">
        <f t="array" ref="I21">K20+'Cash flow - CASH FLOW'!N21</f>
        <v>97948378263.0248</v>
      </c>
      <c r="J21" s="87" cm="1">
        <f t="array" ref="J21">I21*'Info - danh-muc-2026-03-17 5-1'!$F$44</f>
        <v>14692256739.4537</v>
      </c>
      <c r="K21" s="195" cm="1">
        <f t="array" ref="K21">I21+J21</f>
        <v>112640635002.479</v>
      </c>
      <c r="L21" s="195" cm="1">
        <f t="array" ref="L21">N20+'Cash flow - CASH FLOW'!M21</f>
        <v>7306586330.10684</v>
      </c>
      <c r="M21" s="87" cm="1">
        <f t="array" ref="M21">L21*'Info - danh-muc-2026-03-17 5-1'!$F$41</f>
        <v>657592769.7096159</v>
      </c>
      <c r="N21" s="195" cm="1">
        <f t="array" ref="N21">M21+L21</f>
        <v>7964179099.81646</v>
      </c>
      <c r="O21" s="204" cm="1">
        <f t="array" ref="O21">Q20+'Cash flow - CASH FLOW'!L21</f>
        <v>15405703774.8709</v>
      </c>
      <c r="P21" s="205" cm="1">
        <f t="array" ref="P21">(O21)*'Info - danh-muc-2026-03-17 5-1'!$F$40</f>
        <v>2310855566.23064</v>
      </c>
      <c r="Q21" s="206" cm="1">
        <f t="array" ref="Q21">O21+P21</f>
        <v>17716559341.1015</v>
      </c>
    </row>
  </sheetData>
  <mergeCells count="1">
    <mergeCell ref="B1:Q1"/>
  </mergeCells>
  <conditionalFormatting sqref="I3:K21 O3:Q21">
    <cfRule type="cellIs" dxfId="4" priority="1" operator="lessThan" stopIfTrue="1">
      <formula>0</formula>
    </cfRule>
  </conditionalFormatting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